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ih0\OneDrive\Рабочий стол\"/>
    </mc:Choice>
  </mc:AlternateContent>
  <bookViews>
    <workbookView xWindow="0" yWindow="0" windowWidth="23040" windowHeight="8424"/>
  </bookViews>
  <sheets>
    <sheet name="Лист1" sheetId="1" r:id="rId1"/>
    <sheet name="Лист2" sheetId="2" r:id="rId2"/>
    <sheet name="Лист3" sheetId="3" r:id="rId3"/>
  </sheets>
  <definedNames>
    <definedName name="_Hlk144959665" localSheetId="1">Лист2!#REF!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1" l="1"/>
  <c r="D53" i="1"/>
  <c r="J1" i="1"/>
  <c r="E52" i="1"/>
  <c r="D52" i="1"/>
  <c r="C52" i="1"/>
  <c r="E57" i="1" l="1"/>
  <c r="G57" i="1"/>
  <c r="H27" i="1"/>
  <c r="M47" i="1"/>
  <c r="M43" i="1"/>
  <c r="M28" i="1"/>
  <c r="M14" i="1"/>
  <c r="M6" i="1"/>
  <c r="M3" i="1"/>
  <c r="M2" i="1"/>
  <c r="N2" i="1"/>
  <c r="A56" i="1"/>
  <c r="A55" i="1"/>
  <c r="A54" i="1"/>
  <c r="E1" i="1"/>
  <c r="E8" i="1"/>
  <c r="E7" i="1"/>
  <c r="E6" i="1"/>
  <c r="E5" i="1"/>
  <c r="E4" i="1"/>
  <c r="E3" i="1"/>
  <c r="E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1" i="1"/>
  <c r="B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G54" i="1" l="1"/>
  <c r="E54" i="1"/>
</calcChain>
</file>

<file path=xl/sharedStrings.xml><?xml version="1.0" encoding="utf-8"?>
<sst xmlns="http://schemas.openxmlformats.org/spreadsheetml/2006/main" count="5" uniqueCount="5">
  <si>
    <t>t min</t>
  </si>
  <si>
    <t>t max</t>
  </si>
  <si>
    <t>delta t</t>
  </si>
  <si>
    <r>
      <t>𝑡</t>
    </r>
    <r>
      <rPr>
        <i/>
        <sz val="12"/>
        <color rgb="FF000000"/>
        <rFont val="Times New Roman"/>
        <family val="1"/>
        <charset val="204"/>
      </rPr>
      <t>, c</t>
    </r>
  </si>
  <si>
    <r>
      <t>𝜌</t>
    </r>
    <r>
      <rPr>
        <sz val="12"/>
        <color rgb="FF000000"/>
        <rFont val="Times New Roman"/>
        <family val="1"/>
        <charset val="204"/>
      </rPr>
      <t xml:space="preserve">, </t>
    </r>
    <r>
      <rPr>
        <i/>
        <sz val="12"/>
        <color rgb="FF000000"/>
        <rFont val="Times New Roman"/>
        <family val="1"/>
        <charset val="204"/>
      </rPr>
      <t>c</t>
    </r>
    <r>
      <rPr>
        <i/>
        <vertAlign val="superscript"/>
        <sz val="12"/>
        <color rgb="FF000000"/>
        <rFont val="Times New Roman"/>
        <family val="1"/>
        <charset val="204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</si>
</sst>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0"/>
    <numFmt numFmtId="165" formatCode="0.000000"/>
    <numFmt numFmtId="166" formatCode="0.00000000"/>
    <numFmt numFmtId="168" formatCode="0.00000000000000"/>
    <numFmt numFmtId="169" formatCode="0.0"/>
    <numFmt numFmtId="170" formatCode="#,##0.0\ _₽"/>
  </numFmts>
  <fonts count="7" x14ac:knownFonts="1">
    <font>
      <sz val="12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sz val="12"/>
      <color rgb="FF000000"/>
      <name val="Cambria Math"/>
      <family val="1"/>
      <charset val="204"/>
    </font>
    <font>
      <i/>
      <vertAlign val="superscript"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justify" vertical="center"/>
    </xf>
    <xf numFmtId="170" fontId="6" fillId="0" borderId="4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0" fontId="6" fillId="0" borderId="0" xfId="0" applyFont="1"/>
    <xf numFmtId="170" fontId="6" fillId="0" borderId="5" xfId="0" applyNumberFormat="1" applyFont="1" applyBorder="1" applyAlignment="1">
      <alignment horizontal="center" vertical="center"/>
    </xf>
    <xf numFmtId="170" fontId="6" fillId="0" borderId="2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70" fontId="6" fillId="0" borderId="5" xfId="0" applyNumberFormat="1" applyFont="1" applyBorder="1" applyAlignment="1">
      <alignment horizontal="center" vertical="center" wrapText="1"/>
    </xf>
    <xf numFmtId="170" fontId="6" fillId="0" borderId="2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Лист2!$D$2:$D$8</c:f>
              <c:numCache>
                <c:formatCode>General</c:formatCode>
                <c:ptCount val="7"/>
                <c:pt idx="0">
                  <c:v>37.1</c:v>
                </c:pt>
                <c:pt idx="1">
                  <c:v>37.4</c:v>
                </c:pt>
                <c:pt idx="2">
                  <c:v>37.700000000000003</c:v>
                </c:pt>
                <c:pt idx="3">
                  <c:v>38</c:v>
                </c:pt>
                <c:pt idx="4">
                  <c:v>38.299999999999997</c:v>
                </c:pt>
                <c:pt idx="5">
                  <c:v>38.6</c:v>
                </c:pt>
                <c:pt idx="6">
                  <c:v>38.9</c:v>
                </c:pt>
              </c:numCache>
            </c:numRef>
          </c:cat>
          <c:val>
            <c:numRef>
              <c:f>Лист2!$E$2:$E$8</c:f>
              <c:numCache>
                <c:formatCode>General</c:formatCode>
                <c:ptCount val="7"/>
                <c:pt idx="0">
                  <c:v>0.22819700000000001</c:v>
                </c:pt>
                <c:pt idx="1">
                  <c:v>0.26422600000000002</c:v>
                </c:pt>
                <c:pt idx="2">
                  <c:v>0.29039599999999999</c:v>
                </c:pt>
                <c:pt idx="3">
                  <c:v>0.30293799999999999</c:v>
                </c:pt>
                <c:pt idx="4">
                  <c:v>0.29996099999999998</c:v>
                </c:pt>
                <c:pt idx="5">
                  <c:v>0.28191899999999998</c:v>
                </c:pt>
                <c:pt idx="6">
                  <c:v>0.25149700000000003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C-4E30-8EF2-C80D0B6D4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489102304"/>
        <c:axId val="489102632"/>
      </c:barChart>
      <c:scatterChart>
        <c:scatterStyle val="smoothMarker"/>
        <c:varyColors val="0"/>
        <c:ser>
          <c:idx val="1"/>
          <c:order val="1"/>
          <c:tx>
            <c:v>Нормальное распределение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Лист2!$E$2:$E$8</c:f>
              <c:numCache>
                <c:formatCode>General</c:formatCode>
                <c:ptCount val="7"/>
                <c:pt idx="0">
                  <c:v>0.22819700000000001</c:v>
                </c:pt>
                <c:pt idx="1">
                  <c:v>0.26422600000000002</c:v>
                </c:pt>
                <c:pt idx="2">
                  <c:v>0.29039599999999999</c:v>
                </c:pt>
                <c:pt idx="3">
                  <c:v>0.30293799999999999</c:v>
                </c:pt>
                <c:pt idx="4">
                  <c:v>0.29996099999999998</c:v>
                </c:pt>
                <c:pt idx="5">
                  <c:v>0.28191899999999998</c:v>
                </c:pt>
                <c:pt idx="6">
                  <c:v>0.25149700000000003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4-4ABF-86F1-05F188D5D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102304"/>
        <c:axId val="489102632"/>
      </c:scatterChart>
      <c:catAx>
        <c:axId val="48910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9102632"/>
        <c:crosses val="autoZero"/>
        <c:auto val="1"/>
        <c:lblAlgn val="ctr"/>
        <c:lblOffset val="100"/>
        <c:noMultiLvlLbl val="0"/>
      </c:catAx>
      <c:valAx>
        <c:axId val="48910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910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242047</xdr:colOff>
      <xdr:row>0</xdr:row>
      <xdr:rowOff>744071</xdr:rowOff>
    </xdr:from>
    <xdr:to>
      <xdr:col>16</xdr:col>
      <xdr:colOff>268941</xdr:colOff>
      <xdr:row>16</xdr:row>
      <xdr:rowOff>183777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topLeftCell="A33" workbookViewId="0">
      <selection activeCell="E52" sqref="E52"/>
    </sheetView>
  </sheetViews>
  <sheetFormatPr defaultRowHeight="15.6" x14ac:dyDescent="0.3"/>
  <cols>
    <col min="3" max="3" width="10.3984375" bestFit="1" customWidth="1"/>
    <col min="4" max="4" width="16.5" bestFit="1" customWidth="1"/>
    <col min="5" max="5" width="20.59765625" bestFit="1" customWidth="1"/>
    <col min="6" max="6" width="19.59765625" bestFit="1" customWidth="1"/>
    <col min="10" max="10" width="15.5" bestFit="1" customWidth="1"/>
  </cols>
  <sheetData>
    <row r="1" spans="1:16" ht="16.2" thickBot="1" x14ac:dyDescent="0.35">
      <c r="A1" s="1">
        <v>39.049999999999997</v>
      </c>
      <c r="B1" s="4">
        <f>A1-A$52</f>
        <v>0.9567999999999941</v>
      </c>
      <c r="C1" s="6">
        <f>B1*B1</f>
        <v>0.91546623999998866</v>
      </c>
      <c r="E1">
        <f>AVERAGE(A1:A7)</f>
        <v>38.042857142857144</v>
      </c>
      <c r="J1" s="6">
        <f>(12.84-12.8334)*(12.84-12.8334)</f>
        <v>4.3560000000007992E-5</v>
      </c>
      <c r="L1" s="9">
        <v>36.950000000000003</v>
      </c>
      <c r="P1" s="9">
        <v>36.950000000000003</v>
      </c>
    </row>
    <row r="2" spans="1:16" ht="16.2" thickBot="1" x14ac:dyDescent="0.35">
      <c r="A2" s="2">
        <v>38.049999999999997</v>
      </c>
      <c r="B2" s="4">
        <f t="shared" ref="B2:B50" si="0">A2-A$52</f>
        <v>-4.32000000000059E-2</v>
      </c>
      <c r="C2" s="6">
        <f t="shared" ref="C2:C50" si="1">B2*B2</f>
        <v>1.8662400000005097E-3</v>
      </c>
      <c r="E2">
        <f>AVERAGE(A8:A14)</f>
        <v>38.19</v>
      </c>
      <c r="L2" s="9">
        <v>37.17</v>
      </c>
      <c r="M2">
        <f>2*N2</f>
        <v>0.13333333333333333</v>
      </c>
      <c r="N2">
        <f>1/(50*0.3)</f>
        <v>6.6666666666666666E-2</v>
      </c>
      <c r="P2" s="9">
        <v>37.17</v>
      </c>
    </row>
    <row r="3" spans="1:16" ht="16.2" thickBot="1" x14ac:dyDescent="0.35">
      <c r="A3" s="2">
        <v>37.17</v>
      </c>
      <c r="B3" s="4">
        <f t="shared" si="0"/>
        <v>-0.92320000000000135</v>
      </c>
      <c r="C3" s="6">
        <f t="shared" si="1"/>
        <v>0.85229824000000254</v>
      </c>
      <c r="E3">
        <f>AVERAGE(A15:A21)</f>
        <v>38.132857142857141</v>
      </c>
      <c r="L3" s="10">
        <v>37.36</v>
      </c>
      <c r="M3" s="5">
        <f>3*N2</f>
        <v>0.2</v>
      </c>
      <c r="P3" s="10">
        <v>37.36</v>
      </c>
    </row>
    <row r="4" spans="1:16" ht="16.2" thickBot="1" x14ac:dyDescent="0.35">
      <c r="A4" s="2">
        <v>38.18</v>
      </c>
      <c r="B4" s="4">
        <f t="shared" si="0"/>
        <v>8.6799999999996658E-2</v>
      </c>
      <c r="C4" s="6">
        <f t="shared" si="1"/>
        <v>7.5342399999994199E-3</v>
      </c>
      <c r="E4">
        <f>AVERAGE(A22:A28)</f>
        <v>38.117142857142859</v>
      </c>
      <c r="L4" s="10">
        <v>37.36</v>
      </c>
      <c r="P4" s="10">
        <v>37.36</v>
      </c>
    </row>
    <row r="5" spans="1:16" ht="16.2" thickBot="1" x14ac:dyDescent="0.35">
      <c r="A5" s="2">
        <v>38.25</v>
      </c>
      <c r="B5" s="4">
        <f t="shared" si="0"/>
        <v>0.15679999999999694</v>
      </c>
      <c r="C5" s="6">
        <f t="shared" si="1"/>
        <v>2.4586239999999041E-2</v>
      </c>
      <c r="E5">
        <f>AVERAGE(A29:A35)</f>
        <v>38.134285714285717</v>
      </c>
      <c r="L5" s="10">
        <v>37.450000000000003</v>
      </c>
      <c r="P5" s="10">
        <v>37.450000000000003</v>
      </c>
    </row>
    <row r="6" spans="1:16" ht="16.2" thickBot="1" x14ac:dyDescent="0.35">
      <c r="A6" s="2">
        <v>38.24</v>
      </c>
      <c r="B6" s="4">
        <f t="shared" si="0"/>
        <v>0.14679999999999893</v>
      </c>
      <c r="C6" s="6">
        <f t="shared" si="1"/>
        <v>2.1550239999999686E-2</v>
      </c>
      <c r="E6">
        <f>AVERAGE(A36:A42)</f>
        <v>38.174285714285716</v>
      </c>
      <c r="L6" s="11">
        <v>37.61</v>
      </c>
      <c r="M6">
        <f>8*N2</f>
        <v>0.53333333333333333</v>
      </c>
      <c r="P6" s="11">
        <v>37.61</v>
      </c>
    </row>
    <row r="7" spans="1:16" ht="16.2" thickBot="1" x14ac:dyDescent="0.35">
      <c r="A7" s="2">
        <v>37.36</v>
      </c>
      <c r="B7" s="4">
        <f t="shared" si="0"/>
        <v>-0.73320000000000363</v>
      </c>
      <c r="C7" s="6">
        <f t="shared" si="1"/>
        <v>0.53758224000000532</v>
      </c>
      <c r="E7">
        <f>AVERAGE(A43:A50)</f>
        <v>37.889999999999993</v>
      </c>
      <c r="L7" s="11">
        <v>37.67</v>
      </c>
      <c r="P7" s="28">
        <v>37.67</v>
      </c>
    </row>
    <row r="8" spans="1:16" ht="16.2" thickBot="1" x14ac:dyDescent="0.35">
      <c r="A8" s="2">
        <v>38.119999999999997</v>
      </c>
      <c r="B8" s="4">
        <f t="shared" si="0"/>
        <v>2.6799999999994384E-2</v>
      </c>
      <c r="C8" s="6">
        <f t="shared" si="1"/>
        <v>7.1823999999969901E-4</v>
      </c>
      <c r="E8">
        <f>AVERAGE(E1:E7)</f>
        <v>38.097346938775509</v>
      </c>
      <c r="L8" s="11">
        <v>37.74</v>
      </c>
      <c r="P8" s="11">
        <v>37.74</v>
      </c>
    </row>
    <row r="9" spans="1:16" ht="16.2" thickBot="1" x14ac:dyDescent="0.35">
      <c r="A9" s="2">
        <v>37.82</v>
      </c>
      <c r="B9" s="4">
        <f t="shared" si="0"/>
        <v>-0.27320000000000277</v>
      </c>
      <c r="C9" s="6">
        <f t="shared" si="1"/>
        <v>7.4638240000001521E-2</v>
      </c>
      <c r="E9" s="3">
        <v>38.093200000000003</v>
      </c>
      <c r="L9" s="11">
        <v>37.770000000000003</v>
      </c>
      <c r="P9" s="11">
        <v>37.770000000000003</v>
      </c>
    </row>
    <row r="10" spans="1:16" ht="16.2" thickBot="1" x14ac:dyDescent="0.35">
      <c r="A10" s="2">
        <v>38.299999999999997</v>
      </c>
      <c r="B10" s="4">
        <f t="shared" si="0"/>
        <v>0.2067999999999941</v>
      </c>
      <c r="C10" s="6">
        <f t="shared" si="1"/>
        <v>4.2766239999997561E-2</v>
      </c>
      <c r="L10" s="11">
        <v>37.770000000000003</v>
      </c>
      <c r="P10" s="11">
        <v>37.770000000000003</v>
      </c>
    </row>
    <row r="11" spans="1:16" ht="16.2" thickBot="1" x14ac:dyDescent="0.35">
      <c r="A11" s="2">
        <v>37.950000000000003</v>
      </c>
      <c r="B11" s="4">
        <f t="shared" si="0"/>
        <v>-0.14320000000000022</v>
      </c>
      <c r="C11" s="6">
        <f t="shared" si="1"/>
        <v>2.0506240000000061E-2</v>
      </c>
      <c r="L11" s="11">
        <v>37.770000000000003</v>
      </c>
      <c r="P11" s="11">
        <v>37.770000000000003</v>
      </c>
    </row>
    <row r="12" spans="1:16" ht="16.2" thickBot="1" x14ac:dyDescent="0.35">
      <c r="A12" s="2">
        <v>38.380000000000003</v>
      </c>
      <c r="B12" s="4">
        <f t="shared" si="0"/>
        <v>0.2867999999999995</v>
      </c>
      <c r="C12" s="6">
        <f t="shared" si="1"/>
        <v>8.2254239999999715E-2</v>
      </c>
      <c r="L12" s="11">
        <v>37.82</v>
      </c>
      <c r="P12" s="11">
        <v>37.82</v>
      </c>
    </row>
    <row r="13" spans="1:16" ht="16.2" thickBot="1" x14ac:dyDescent="0.35">
      <c r="A13" s="2">
        <v>38.86</v>
      </c>
      <c r="B13" s="4">
        <f t="shared" si="0"/>
        <v>0.76679999999999637</v>
      </c>
      <c r="C13" s="6">
        <f t="shared" si="1"/>
        <v>0.58798223999999444</v>
      </c>
      <c r="L13" s="11">
        <v>37.83</v>
      </c>
      <c r="P13" s="11">
        <v>37.83</v>
      </c>
    </row>
    <row r="14" spans="1:16" ht="16.2" thickBot="1" x14ac:dyDescent="0.35">
      <c r="A14" s="2">
        <v>37.9</v>
      </c>
      <c r="B14" s="4">
        <f t="shared" si="0"/>
        <v>-0.19320000000000448</v>
      </c>
      <c r="C14" s="6">
        <f t="shared" si="1"/>
        <v>3.7326240000001731E-2</v>
      </c>
      <c r="L14" s="12">
        <v>37.86</v>
      </c>
      <c r="M14">
        <f>14*N2</f>
        <v>0.93333333333333335</v>
      </c>
      <c r="P14" s="12">
        <v>37.86</v>
      </c>
    </row>
    <row r="15" spans="1:16" ht="16.2" thickBot="1" x14ac:dyDescent="0.35">
      <c r="A15" s="2">
        <v>37.9</v>
      </c>
      <c r="B15" s="4">
        <f t="shared" si="0"/>
        <v>-0.19320000000000448</v>
      </c>
      <c r="C15" s="6">
        <f t="shared" si="1"/>
        <v>3.7326240000001731E-2</v>
      </c>
      <c r="L15" s="12">
        <v>37.9</v>
      </c>
      <c r="P15" s="12">
        <v>37.9</v>
      </c>
    </row>
    <row r="16" spans="1:16" ht="16.2" thickBot="1" x14ac:dyDescent="0.35">
      <c r="A16" s="2">
        <v>38.89</v>
      </c>
      <c r="B16" s="4">
        <f t="shared" si="0"/>
        <v>0.79679999999999751</v>
      </c>
      <c r="C16" s="6">
        <f t="shared" si="1"/>
        <v>0.63489023999999605</v>
      </c>
      <c r="L16" s="12">
        <v>37.9</v>
      </c>
      <c r="P16" s="12">
        <v>37.9</v>
      </c>
    </row>
    <row r="17" spans="1:16" ht="16.2" thickBot="1" x14ac:dyDescent="0.35">
      <c r="A17" s="2">
        <v>38.450000000000003</v>
      </c>
      <c r="B17" s="4">
        <f t="shared" si="0"/>
        <v>0.35679999999999978</v>
      </c>
      <c r="C17" s="6">
        <f t="shared" si="1"/>
        <v>0.12730623999999985</v>
      </c>
      <c r="L17" s="12">
        <v>37.9</v>
      </c>
      <c r="P17" s="12">
        <v>37.9</v>
      </c>
    </row>
    <row r="18" spans="1:16" ht="16.2" thickBot="1" x14ac:dyDescent="0.35">
      <c r="A18" s="2">
        <v>37.770000000000003</v>
      </c>
      <c r="B18" s="4">
        <f t="shared" si="0"/>
        <v>-0.32319999999999993</v>
      </c>
      <c r="C18" s="6">
        <f t="shared" si="1"/>
        <v>0.10445823999999995</v>
      </c>
      <c r="L18" s="12">
        <v>37.909999999999997</v>
      </c>
      <c r="P18" s="12">
        <v>37.909999999999997</v>
      </c>
    </row>
    <row r="19" spans="1:16" ht="16.2" thickBot="1" x14ac:dyDescent="0.35">
      <c r="A19" s="2">
        <v>38.130000000000003</v>
      </c>
      <c r="B19" s="4">
        <f t="shared" si="0"/>
        <v>3.67999999999995E-2</v>
      </c>
      <c r="C19" s="6">
        <f t="shared" si="1"/>
        <v>1.3542399999999632E-3</v>
      </c>
      <c r="L19" s="12">
        <v>37.950000000000003</v>
      </c>
      <c r="P19" s="12">
        <v>37.950000000000003</v>
      </c>
    </row>
    <row r="20" spans="1:16" ht="16.2" thickBot="1" x14ac:dyDescent="0.35">
      <c r="A20" s="2">
        <v>37.770000000000003</v>
      </c>
      <c r="B20" s="4">
        <f t="shared" si="0"/>
        <v>-0.32319999999999993</v>
      </c>
      <c r="C20" s="6">
        <f t="shared" si="1"/>
        <v>0.10445823999999995</v>
      </c>
      <c r="L20" s="12">
        <v>38.020000000000003</v>
      </c>
      <c r="P20" s="12">
        <v>38.020000000000003</v>
      </c>
    </row>
    <row r="21" spans="1:16" ht="16.2" thickBot="1" x14ac:dyDescent="0.35">
      <c r="A21" s="2">
        <v>38.020000000000003</v>
      </c>
      <c r="B21" s="4">
        <f t="shared" si="0"/>
        <v>-7.3199999999999932E-2</v>
      </c>
      <c r="C21" s="6">
        <f t="shared" si="1"/>
        <v>5.3582399999999898E-3</v>
      </c>
      <c r="L21" s="12">
        <v>38.020000000000003</v>
      </c>
      <c r="P21" s="12">
        <v>38.020000000000003</v>
      </c>
    </row>
    <row r="22" spans="1:16" ht="16.2" thickBot="1" x14ac:dyDescent="0.35">
      <c r="A22" s="2">
        <v>38.450000000000003</v>
      </c>
      <c r="B22" s="4">
        <f t="shared" si="0"/>
        <v>0.35679999999999978</v>
      </c>
      <c r="C22" s="6">
        <f t="shared" si="1"/>
        <v>0.12730623999999985</v>
      </c>
      <c r="L22" s="12">
        <v>38.049999999999997</v>
      </c>
      <c r="P22" s="12">
        <v>38.049999999999997</v>
      </c>
    </row>
    <row r="23" spans="1:16" ht="16.2" thickBot="1" x14ac:dyDescent="0.35">
      <c r="A23" s="2">
        <v>38.200000000000003</v>
      </c>
      <c r="B23" s="4">
        <f t="shared" si="0"/>
        <v>0.10679999999999978</v>
      </c>
      <c r="C23" s="6">
        <f t="shared" si="1"/>
        <v>1.1406239999999955E-2</v>
      </c>
      <c r="L23" s="12">
        <v>38.06</v>
      </c>
      <c r="P23" s="12">
        <v>38.06</v>
      </c>
    </row>
    <row r="24" spans="1:16" ht="16.2" thickBot="1" x14ac:dyDescent="0.35">
      <c r="A24" s="2">
        <v>37.67</v>
      </c>
      <c r="B24" s="4">
        <f t="shared" si="0"/>
        <v>-0.42320000000000135</v>
      </c>
      <c r="C24" s="6">
        <f t="shared" si="1"/>
        <v>0.17909824000000116</v>
      </c>
      <c r="L24" s="12">
        <v>38.08</v>
      </c>
      <c r="P24" s="12">
        <v>38.08</v>
      </c>
    </row>
    <row r="25" spans="1:16" ht="16.2" thickBot="1" x14ac:dyDescent="0.35">
      <c r="A25" s="2">
        <v>38.24</v>
      </c>
      <c r="B25" s="4">
        <f t="shared" si="0"/>
        <v>0.14679999999999893</v>
      </c>
      <c r="C25" s="6">
        <f t="shared" si="1"/>
        <v>2.1550239999999686E-2</v>
      </c>
      <c r="L25" s="12">
        <v>38.119999999999997</v>
      </c>
      <c r="P25" s="12">
        <v>38.119999999999997</v>
      </c>
    </row>
    <row r="26" spans="1:16" ht="16.2" thickBot="1" x14ac:dyDescent="0.35">
      <c r="A26" s="2">
        <v>38.79</v>
      </c>
      <c r="B26" s="4">
        <f t="shared" si="0"/>
        <v>0.69679999999999609</v>
      </c>
      <c r="C26" s="6">
        <f t="shared" si="1"/>
        <v>0.48553023999999456</v>
      </c>
      <c r="L26" s="12">
        <v>38.130000000000003</v>
      </c>
      <c r="P26" s="12">
        <v>38.130000000000003</v>
      </c>
    </row>
    <row r="27" spans="1:16" ht="16.2" thickBot="1" x14ac:dyDescent="0.35">
      <c r="A27" s="2">
        <v>37.61</v>
      </c>
      <c r="B27" s="4">
        <f t="shared" si="0"/>
        <v>-0.48320000000000363</v>
      </c>
      <c r="C27" s="6">
        <f t="shared" si="1"/>
        <v>0.2334822400000035</v>
      </c>
      <c r="H27">
        <f>12.06+(12.306-12.06)/2</f>
        <v>12.183</v>
      </c>
      <c r="L27" s="12">
        <v>38.14</v>
      </c>
      <c r="P27" s="12">
        <v>38.14</v>
      </c>
    </row>
    <row r="28" spans="1:16" ht="16.2" thickBot="1" x14ac:dyDescent="0.35">
      <c r="A28" s="2">
        <v>37.86</v>
      </c>
      <c r="B28" s="4">
        <f t="shared" si="0"/>
        <v>-0.23320000000000363</v>
      </c>
      <c r="C28" s="6">
        <f t="shared" si="1"/>
        <v>5.4382240000001691E-2</v>
      </c>
      <c r="L28" s="13">
        <v>38.18</v>
      </c>
      <c r="M28" s="5">
        <f>15*N2</f>
        <v>1</v>
      </c>
      <c r="P28" s="13">
        <v>38.18</v>
      </c>
    </row>
    <row r="29" spans="1:16" ht="16.2" thickBot="1" x14ac:dyDescent="0.35">
      <c r="A29" s="2">
        <v>38.36</v>
      </c>
      <c r="B29" s="4">
        <f t="shared" si="0"/>
        <v>0.26679999999999637</v>
      </c>
      <c r="C29" s="6">
        <f t="shared" si="1"/>
        <v>7.1182239999998065E-2</v>
      </c>
      <c r="L29" s="13">
        <v>38.18</v>
      </c>
      <c r="P29" s="13">
        <v>38.18</v>
      </c>
    </row>
    <row r="30" spans="1:16" ht="16.2" thickBot="1" x14ac:dyDescent="0.35">
      <c r="A30" s="2">
        <v>38.08</v>
      </c>
      <c r="B30" s="4">
        <f t="shared" si="0"/>
        <v>-1.3200000000004763E-2</v>
      </c>
      <c r="C30" s="6">
        <f t="shared" si="1"/>
        <v>1.7424000000012575E-4</v>
      </c>
      <c r="L30" s="13">
        <v>38.200000000000003</v>
      </c>
      <c r="P30" s="13">
        <v>38.200000000000003</v>
      </c>
    </row>
    <row r="31" spans="1:16" ht="16.2" thickBot="1" x14ac:dyDescent="0.35">
      <c r="A31" s="2">
        <v>38.61</v>
      </c>
      <c r="B31" s="4">
        <f t="shared" si="0"/>
        <v>0.51679999999999637</v>
      </c>
      <c r="C31" s="6">
        <f t="shared" si="1"/>
        <v>0.26708223999999625</v>
      </c>
      <c r="L31" s="13">
        <v>38.24</v>
      </c>
      <c r="P31" s="13">
        <v>38.24</v>
      </c>
    </row>
    <row r="32" spans="1:16" ht="16.2" thickBot="1" x14ac:dyDescent="0.35">
      <c r="A32" s="2">
        <v>37.9</v>
      </c>
      <c r="B32" s="4">
        <f t="shared" si="0"/>
        <v>-0.19320000000000448</v>
      </c>
      <c r="C32" s="6">
        <f t="shared" si="1"/>
        <v>3.7326240000001731E-2</v>
      </c>
      <c r="L32" s="13">
        <v>38.24</v>
      </c>
      <c r="P32" s="13">
        <v>38.24</v>
      </c>
    </row>
    <row r="33" spans="1:16" ht="16.2" thickBot="1" x14ac:dyDescent="0.35">
      <c r="A33" s="2">
        <v>37.909999999999997</v>
      </c>
      <c r="B33" s="4">
        <f t="shared" si="0"/>
        <v>-0.18320000000000647</v>
      </c>
      <c r="C33" s="6">
        <f t="shared" si="1"/>
        <v>3.3562240000002373E-2</v>
      </c>
      <c r="L33" s="13">
        <v>38.25</v>
      </c>
      <c r="P33" s="13">
        <v>38.25</v>
      </c>
    </row>
    <row r="34" spans="1:16" ht="16.2" thickBot="1" x14ac:dyDescent="0.35">
      <c r="A34" s="2">
        <v>38.25</v>
      </c>
      <c r="B34" s="4">
        <f t="shared" si="0"/>
        <v>0.15679999999999694</v>
      </c>
      <c r="C34" s="6">
        <f t="shared" si="1"/>
        <v>2.4586239999999041E-2</v>
      </c>
      <c r="L34" s="13">
        <v>38.25</v>
      </c>
      <c r="P34" s="13">
        <v>38.25</v>
      </c>
    </row>
    <row r="35" spans="1:16" ht="16.2" thickBot="1" x14ac:dyDescent="0.35">
      <c r="A35" s="2">
        <v>37.83</v>
      </c>
      <c r="B35" s="4">
        <f t="shared" si="0"/>
        <v>-0.26320000000000476</v>
      </c>
      <c r="C35" s="6">
        <f t="shared" si="1"/>
        <v>6.9274240000002513E-2</v>
      </c>
      <c r="L35" s="13">
        <v>38.299999999999997</v>
      </c>
      <c r="P35" s="13">
        <v>38.299999999999997</v>
      </c>
    </row>
    <row r="36" spans="1:16" ht="16.2" thickBot="1" x14ac:dyDescent="0.35">
      <c r="A36" s="2">
        <v>38.68</v>
      </c>
      <c r="B36" s="4">
        <f t="shared" si="0"/>
        <v>0.58679999999999666</v>
      </c>
      <c r="C36" s="6">
        <f t="shared" si="1"/>
        <v>0.34433423999999607</v>
      </c>
      <c r="L36" s="13">
        <v>38.299999999999997</v>
      </c>
      <c r="P36" s="13">
        <v>38.299999999999997</v>
      </c>
    </row>
    <row r="37" spans="1:16" ht="16.2" thickBot="1" x14ac:dyDescent="0.35">
      <c r="A37" s="2">
        <v>38.06</v>
      </c>
      <c r="B37" s="4">
        <f t="shared" si="0"/>
        <v>-3.3200000000000784E-2</v>
      </c>
      <c r="C37" s="6">
        <f t="shared" si="1"/>
        <v>1.102240000000052E-3</v>
      </c>
      <c r="L37" s="13">
        <v>38.33</v>
      </c>
      <c r="P37" s="13">
        <v>38.33</v>
      </c>
    </row>
    <row r="38" spans="1:16" ht="16.2" thickBot="1" x14ac:dyDescent="0.35">
      <c r="A38" s="2">
        <v>38.340000000000003</v>
      </c>
      <c r="B38" s="4">
        <f t="shared" si="0"/>
        <v>0.24680000000000035</v>
      </c>
      <c r="C38" s="6">
        <f t="shared" si="1"/>
        <v>6.0910240000000171E-2</v>
      </c>
      <c r="L38" s="13">
        <v>38.340000000000003</v>
      </c>
      <c r="P38" s="13">
        <v>38.340000000000003</v>
      </c>
    </row>
    <row r="39" spans="1:16" ht="16.2" thickBot="1" x14ac:dyDescent="0.35">
      <c r="A39" s="2">
        <v>37.770000000000003</v>
      </c>
      <c r="B39" s="4">
        <f t="shared" si="0"/>
        <v>-0.32319999999999993</v>
      </c>
      <c r="C39" s="6">
        <f t="shared" si="1"/>
        <v>0.10445823999999995</v>
      </c>
      <c r="L39" s="13">
        <v>38.36</v>
      </c>
      <c r="P39" s="13">
        <v>38.36</v>
      </c>
    </row>
    <row r="40" spans="1:16" ht="16.2" thickBot="1" x14ac:dyDescent="0.35">
      <c r="A40" s="2">
        <v>37.74</v>
      </c>
      <c r="B40" s="4">
        <f t="shared" si="0"/>
        <v>-0.35320000000000107</v>
      </c>
      <c r="C40" s="6">
        <f t="shared" si="1"/>
        <v>0.12475024000000076</v>
      </c>
      <c r="L40" s="13">
        <v>38.380000000000003</v>
      </c>
      <c r="P40" s="13">
        <v>38.380000000000003</v>
      </c>
    </row>
    <row r="41" spans="1:16" ht="16.2" thickBot="1" x14ac:dyDescent="0.35">
      <c r="A41" s="2">
        <v>38.299999999999997</v>
      </c>
      <c r="B41" s="4">
        <f t="shared" si="0"/>
        <v>0.2067999999999941</v>
      </c>
      <c r="C41" s="6">
        <f t="shared" si="1"/>
        <v>4.2766239999997561E-2</v>
      </c>
      <c r="L41" s="13">
        <v>38.450000000000003</v>
      </c>
      <c r="P41" s="13">
        <v>38.450000000000003</v>
      </c>
    </row>
    <row r="42" spans="1:16" ht="16.2" thickBot="1" x14ac:dyDescent="0.35">
      <c r="A42" s="2">
        <v>38.33</v>
      </c>
      <c r="B42" s="4">
        <f t="shared" si="0"/>
        <v>0.23679999999999524</v>
      </c>
      <c r="C42" s="6">
        <f t="shared" si="1"/>
        <v>5.6074239999997742E-2</v>
      </c>
      <c r="L42" s="13">
        <v>38.450000000000003</v>
      </c>
      <c r="P42" s="13">
        <v>38.450000000000003</v>
      </c>
    </row>
    <row r="43" spans="1:16" ht="16.2" thickBot="1" x14ac:dyDescent="0.35">
      <c r="A43" s="2">
        <v>38.18</v>
      </c>
      <c r="B43" s="4">
        <f t="shared" si="0"/>
        <v>8.6799999999996658E-2</v>
      </c>
      <c r="C43" s="6">
        <f t="shared" si="1"/>
        <v>7.5342399999994199E-3</v>
      </c>
      <c r="L43" s="2">
        <v>38.479999999999997</v>
      </c>
      <c r="M43">
        <f>4*N2</f>
        <v>0.26666666666666666</v>
      </c>
      <c r="P43" s="2">
        <v>38.479999999999997</v>
      </c>
    </row>
    <row r="44" spans="1:16" ht="16.2" thickBot="1" x14ac:dyDescent="0.35">
      <c r="A44" s="2">
        <v>38.54</v>
      </c>
      <c r="B44" s="4">
        <f t="shared" si="0"/>
        <v>0.44679999999999609</v>
      </c>
      <c r="C44" s="6">
        <f t="shared" si="1"/>
        <v>0.19963023999999652</v>
      </c>
      <c r="L44" s="2">
        <v>38.54</v>
      </c>
      <c r="P44" s="2">
        <v>38.54</v>
      </c>
    </row>
    <row r="45" spans="1:16" ht="16.2" thickBot="1" x14ac:dyDescent="0.35">
      <c r="A45" s="2">
        <v>38.020000000000003</v>
      </c>
      <c r="B45" s="4">
        <f t="shared" si="0"/>
        <v>-7.3199999999999932E-2</v>
      </c>
      <c r="C45" s="6">
        <f t="shared" si="1"/>
        <v>5.3582399999999898E-3</v>
      </c>
      <c r="L45" s="2">
        <v>38.61</v>
      </c>
      <c r="P45" s="2">
        <v>38.61</v>
      </c>
    </row>
    <row r="46" spans="1:16" ht="16.2" thickBot="1" x14ac:dyDescent="0.35">
      <c r="A46" s="2">
        <v>37.450000000000003</v>
      </c>
      <c r="B46" s="4">
        <f t="shared" si="0"/>
        <v>-0.64320000000000022</v>
      </c>
      <c r="C46" s="6">
        <f t="shared" si="1"/>
        <v>0.41370624000000028</v>
      </c>
      <c r="L46" s="2">
        <v>38.68</v>
      </c>
      <c r="P46" s="2">
        <v>38.68</v>
      </c>
    </row>
    <row r="47" spans="1:16" ht="16.2" thickBot="1" x14ac:dyDescent="0.35">
      <c r="A47" s="2">
        <v>38.479999999999997</v>
      </c>
      <c r="B47" s="4">
        <f t="shared" si="0"/>
        <v>0.38679999999999382</v>
      </c>
      <c r="C47" s="6">
        <f t="shared" si="1"/>
        <v>0.14961423999999521</v>
      </c>
      <c r="L47" s="14">
        <v>38.79</v>
      </c>
      <c r="M47">
        <f>4*N2</f>
        <v>0.26666666666666666</v>
      </c>
      <c r="P47" s="14">
        <v>38.79</v>
      </c>
    </row>
    <row r="48" spans="1:16" ht="16.2" thickBot="1" x14ac:dyDescent="0.35">
      <c r="A48" s="2">
        <v>37.36</v>
      </c>
      <c r="B48" s="4">
        <f t="shared" si="0"/>
        <v>-0.73320000000000363</v>
      </c>
      <c r="C48" s="6">
        <f t="shared" si="1"/>
        <v>0.53758224000000532</v>
      </c>
      <c r="L48" s="14">
        <v>38.86</v>
      </c>
      <c r="P48" s="14">
        <v>38.86</v>
      </c>
    </row>
    <row r="49" spans="1:16" ht="16.2" thickBot="1" x14ac:dyDescent="0.35">
      <c r="A49" s="2">
        <v>38.14</v>
      </c>
      <c r="B49" s="4">
        <f t="shared" si="0"/>
        <v>4.679999999999751E-2</v>
      </c>
      <c r="C49" s="6">
        <f t="shared" si="1"/>
        <v>2.1902399999997671E-3</v>
      </c>
      <c r="L49" s="14">
        <v>38.89</v>
      </c>
      <c r="P49" s="14">
        <v>38.89</v>
      </c>
    </row>
    <row r="50" spans="1:16" ht="16.2" thickBot="1" x14ac:dyDescent="0.35">
      <c r="A50" s="2">
        <v>36.950000000000003</v>
      </c>
      <c r="B50" s="4">
        <f t="shared" si="0"/>
        <v>-1.1432000000000002</v>
      </c>
      <c r="C50" s="6">
        <f t="shared" si="1"/>
        <v>1.3069062400000004</v>
      </c>
      <c r="L50" s="15">
        <v>39.049999999999997</v>
      </c>
      <c r="P50" s="15">
        <v>39.049999999999997</v>
      </c>
    </row>
    <row r="52" spans="1:16" x14ac:dyDescent="0.3">
      <c r="A52" s="3">
        <v>38.093200000000003</v>
      </c>
      <c r="C52" s="5">
        <f>SUM(C1:C50)</f>
        <v>9.1950879999999753</v>
      </c>
      <c r="D52" s="7">
        <f>C52/49</f>
        <v>0.18765485714285665</v>
      </c>
      <c r="E52" s="4">
        <f>SQRT(D52)</f>
        <v>0.43319147861293006</v>
      </c>
    </row>
    <row r="53" spans="1:16" x14ac:dyDescent="0.3">
      <c r="D53">
        <f>C52/(50*49)</f>
        <v>3.7530971428571328E-3</v>
      </c>
      <c r="E53">
        <f>SQRT(D53)</f>
        <v>6.1262526415886025E-2</v>
      </c>
    </row>
    <row r="54" spans="1:16" x14ac:dyDescent="0.3">
      <c r="A54">
        <f>MIN(A1:A50)</f>
        <v>36.950000000000003</v>
      </c>
      <c r="B54" t="s">
        <v>0</v>
      </c>
      <c r="E54" s="4">
        <f>F54-E52</f>
        <v>37.66000852138707</v>
      </c>
      <c r="F54" s="3">
        <v>38.093200000000003</v>
      </c>
      <c r="G54" s="4">
        <f>F54+E52</f>
        <v>38.526391478612936</v>
      </c>
    </row>
    <row r="55" spans="1:16" x14ac:dyDescent="0.3">
      <c r="A55">
        <f>MAX(A1:A50)</f>
        <v>39.049999999999997</v>
      </c>
      <c r="B55" t="s">
        <v>1</v>
      </c>
      <c r="I55">
        <v>0.34970000000000001</v>
      </c>
    </row>
    <row r="56" spans="1:16" x14ac:dyDescent="0.3">
      <c r="A56" s="8">
        <f>(A55-A54)/7</f>
        <v>0.29999999999999921</v>
      </c>
      <c r="B56" t="s">
        <v>2</v>
      </c>
      <c r="E56">
        <v>12.06</v>
      </c>
      <c r="G56">
        <v>13.78</v>
      </c>
      <c r="I56">
        <v>12.833399999999999</v>
      </c>
    </row>
    <row r="57" spans="1:16" x14ac:dyDescent="0.3">
      <c r="E57">
        <f>I56-I55</f>
        <v>12.483699999999999</v>
      </c>
      <c r="F57">
        <v>12.833399999999999</v>
      </c>
      <c r="G57">
        <f>I56+I55</f>
        <v>13.1831</v>
      </c>
    </row>
  </sheetData>
  <sortState ref="L1:L49">
    <sortCondition ref="L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zoomScale="101" workbookViewId="0">
      <selection activeCell="G9" sqref="G9"/>
    </sheetView>
  </sheetViews>
  <sheetFormatPr defaultRowHeight="15.6" x14ac:dyDescent="0.3"/>
  <cols>
    <col min="1" max="1" width="5.5" bestFit="1" customWidth="1"/>
    <col min="2" max="2" width="8.09765625" bestFit="1" customWidth="1"/>
    <col min="5" max="5" width="9.5" bestFit="1" customWidth="1"/>
  </cols>
  <sheetData>
    <row r="1" spans="1:5" ht="93" thickBot="1" x14ac:dyDescent="0.35">
      <c r="A1" s="16" t="s">
        <v>3</v>
      </c>
      <c r="B1" s="16" t="s">
        <v>4</v>
      </c>
    </row>
    <row r="2" spans="1:5" x14ac:dyDescent="0.3">
      <c r="A2" s="20">
        <v>37.1</v>
      </c>
      <c r="B2" s="22">
        <v>0.22819700000000001</v>
      </c>
      <c r="D2" s="19">
        <v>37.1</v>
      </c>
      <c r="E2">
        <v>0.22819700000000001</v>
      </c>
    </row>
    <row r="3" spans="1:5" ht="16.2" thickBot="1" x14ac:dyDescent="0.35">
      <c r="A3" s="21"/>
      <c r="B3" s="23"/>
      <c r="D3">
        <v>37.4</v>
      </c>
      <c r="E3">
        <v>0.26422600000000002</v>
      </c>
    </row>
    <row r="4" spans="1:5" x14ac:dyDescent="0.3">
      <c r="A4" s="20">
        <v>37.4</v>
      </c>
      <c r="B4" s="22">
        <v>0.26422600000000002</v>
      </c>
      <c r="D4">
        <v>37.700000000000003</v>
      </c>
      <c r="E4">
        <v>0.29039599999999999</v>
      </c>
    </row>
    <row r="5" spans="1:5" ht="16.2" thickBot="1" x14ac:dyDescent="0.35">
      <c r="A5" s="21"/>
      <c r="B5" s="23"/>
      <c r="D5">
        <v>38</v>
      </c>
      <c r="E5">
        <v>0.30293799999999999</v>
      </c>
    </row>
    <row r="6" spans="1:5" x14ac:dyDescent="0.3">
      <c r="A6" s="20">
        <v>37.700000000000003</v>
      </c>
      <c r="B6" s="22">
        <v>0.29039599999999999</v>
      </c>
      <c r="D6">
        <v>38.299999999999997</v>
      </c>
      <c r="E6">
        <v>0.29996099999999998</v>
      </c>
    </row>
    <row r="7" spans="1:5" ht="16.2" thickBot="1" x14ac:dyDescent="0.35">
      <c r="A7" s="21"/>
      <c r="B7" s="23"/>
      <c r="D7">
        <v>38.6</v>
      </c>
      <c r="E7">
        <v>0.28191899999999998</v>
      </c>
    </row>
    <row r="8" spans="1:5" x14ac:dyDescent="0.3">
      <c r="A8" s="20">
        <v>38</v>
      </c>
      <c r="B8" s="22">
        <v>0.30293799999999999</v>
      </c>
      <c r="D8">
        <v>38.9</v>
      </c>
      <c r="E8">
        <v>0.25149700000000003</v>
      </c>
    </row>
    <row r="9" spans="1:5" ht="16.2" thickBot="1" x14ac:dyDescent="0.35">
      <c r="A9" s="21"/>
      <c r="B9" s="23"/>
    </row>
    <row r="10" spans="1:5" x14ac:dyDescent="0.3">
      <c r="A10" s="20">
        <v>38.299999999999997</v>
      </c>
      <c r="B10" s="22">
        <v>0.29996099999999998</v>
      </c>
    </row>
    <row r="11" spans="1:5" ht="16.2" thickBot="1" x14ac:dyDescent="0.35">
      <c r="A11" s="21"/>
      <c r="B11" s="23"/>
    </row>
    <row r="12" spans="1:5" x14ac:dyDescent="0.3">
      <c r="A12" s="24">
        <v>38.6</v>
      </c>
      <c r="B12" s="26">
        <v>0.28191899999999998</v>
      </c>
    </row>
    <row r="13" spans="1:5" ht="16.2" thickBot="1" x14ac:dyDescent="0.35">
      <c r="A13" s="25"/>
      <c r="B13" s="27"/>
    </row>
    <row r="14" spans="1:5" ht="16.2" thickBot="1" x14ac:dyDescent="0.35">
      <c r="A14" s="17">
        <v>38.9</v>
      </c>
      <c r="B14" s="18">
        <v>0.25149700000000003</v>
      </c>
    </row>
  </sheetData>
  <mergeCells count="12">
    <mergeCell ref="A2:A3"/>
    <mergeCell ref="B2:B3"/>
    <mergeCell ref="A4:A5"/>
    <mergeCell ref="B4:B5"/>
    <mergeCell ref="A10:A11"/>
    <mergeCell ref="B10:B11"/>
    <mergeCell ref="A12:A13"/>
    <mergeCell ref="B12:B13"/>
    <mergeCell ref="A6:A7"/>
    <mergeCell ref="B6:B7"/>
    <mergeCell ref="A8:A9"/>
    <mergeCell ref="B8:B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5" sqref="B25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 Михайлов</dc:creator>
  <cp:lastModifiedBy>Петр Михайлов</cp:lastModifiedBy>
  <dcterms:created xsi:type="dcterms:W3CDTF">2025-09-05T12:46:19Z</dcterms:created>
  <dcterms:modified xsi:type="dcterms:W3CDTF">2025-09-06T10:07:39Z</dcterms:modified>
</cp:coreProperties>
</file>