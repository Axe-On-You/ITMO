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mih0\OneDrive\Рабочий стол\физика\1.04\"/>
    </mc:Choice>
  </mc:AlternateContent>
  <bookViews>
    <workbookView xWindow="0" yWindow="0" windowWidth="23040" windowHeight="8424" firstSheet="2" activeTab="9"/>
  </bookViews>
  <sheets>
    <sheet name="Погрешности косвенные (Шаблон)" sheetId="9" state="hidden" r:id="rId1"/>
    <sheet name="МНК (Шаблон)" sheetId="4" state="hidden" r:id="rId2"/>
    <sheet name="предисловие" sheetId="28" r:id="rId3"/>
    <sheet name="Таблица 1" sheetId="1" r:id="rId4"/>
    <sheet name="Таблица 2" sheetId="2" r:id="rId5"/>
    <sheet name="Таблица 3" sheetId="19" r:id="rId6"/>
    <sheet name="График 1" sheetId="23" r:id="rId7"/>
    <sheet name="График 2" sheetId="24" r:id="rId8"/>
    <sheet name="Печать 1" sheetId="25" r:id="rId9"/>
    <sheet name="Печать 2" sheetId="26" r:id="rId10"/>
    <sheet name="Печать 3" sheetId="27" r:id="rId11"/>
    <sheet name="Параметры установки" sheetId="22" r:id="rId12"/>
    <sheet name="Погрешности прямые (t)" sheetId="13" r:id="rId13"/>
    <sheet name="Погрешности прямые (a)" sheetId="5" r:id="rId14"/>
    <sheet name="Погрешности косвенные (a)" sheetId="12" r:id="rId15"/>
    <sheet name="Погрешности прямые (e)" sheetId="6" r:id="rId16"/>
    <sheet name="Погрешности косвенные (e)" sheetId="10" r:id="rId17"/>
    <sheet name="Погрешности прямые (M)" sheetId="7" r:id="rId18"/>
    <sheet name="Погрешности косвенные (M)" sheetId="11" r:id="rId19"/>
    <sheet name="МНК рис.1" sheetId="8" r:id="rId20"/>
    <sheet name="МНК рис.2" sheetId="14" r:id="rId21"/>
    <sheet name="МНК рис.3" sheetId="15" r:id="rId22"/>
    <sheet name="МНК рис.4" sheetId="16" r:id="rId23"/>
    <sheet name="МНК рис.5" sheetId="17" r:id="rId24"/>
    <sheet name="МНК рис.6" sheetId="18" r:id="rId25"/>
    <sheet name="МНК I" sheetId="21" r:id="rId26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7" i="1" l="1"/>
  <c r="O17" i="1"/>
  <c r="N17" i="1"/>
  <c r="M17" i="1"/>
  <c r="L17" i="1"/>
  <c r="K17" i="1"/>
  <c r="P13" i="1"/>
  <c r="O13" i="1"/>
  <c r="N13" i="1"/>
  <c r="M13" i="1"/>
  <c r="L13" i="1"/>
  <c r="K13" i="1"/>
  <c r="P9" i="1"/>
  <c r="O9" i="1"/>
  <c r="N9" i="1"/>
  <c r="M9" i="1"/>
  <c r="L9" i="1"/>
  <c r="K9" i="1"/>
  <c r="P5" i="1"/>
  <c r="O5" i="1"/>
  <c r="N5" i="1"/>
  <c r="M5" i="1"/>
  <c r="L5" i="1"/>
  <c r="K5" i="1"/>
  <c r="A2" i="13" l="1"/>
  <c r="L2" i="21"/>
  <c r="C2" i="21"/>
  <c r="A2" i="21"/>
  <c r="G19" i="25" l="1"/>
  <c r="F19" i="25"/>
  <c r="E19" i="25"/>
  <c r="D19" i="25"/>
  <c r="C19" i="25"/>
  <c r="B19" i="25"/>
  <c r="A16" i="25"/>
  <c r="G15" i="25"/>
  <c r="F15" i="25"/>
  <c r="E15" i="25"/>
  <c r="D15" i="25"/>
  <c r="C15" i="25"/>
  <c r="B15" i="25"/>
  <c r="A12" i="25"/>
  <c r="G11" i="25"/>
  <c r="F11" i="25"/>
  <c r="E11" i="25"/>
  <c r="D11" i="25"/>
  <c r="C11" i="25"/>
  <c r="B11" i="25"/>
  <c r="A8" i="25"/>
  <c r="G7" i="25"/>
  <c r="F7" i="25"/>
  <c r="E7" i="25"/>
  <c r="D7" i="25"/>
  <c r="C7" i="25"/>
  <c r="B7" i="25"/>
  <c r="A4" i="25"/>
  <c r="A15" i="1"/>
  <c r="A11" i="1"/>
  <c r="A7" i="1"/>
  <c r="A3" i="1"/>
  <c r="C2" i="19"/>
  <c r="C3" i="19" s="1"/>
  <c r="A3" i="21" s="1"/>
  <c r="D2" i="19"/>
  <c r="D3" i="19" s="1"/>
  <c r="A4" i="21" s="1"/>
  <c r="E2" i="19"/>
  <c r="E3" i="19" s="1"/>
  <c r="A5" i="21" s="1"/>
  <c r="F2" i="19"/>
  <c r="F3" i="19" s="1"/>
  <c r="A6" i="21" s="1"/>
  <c r="G2" i="19"/>
  <c r="G3" i="19" s="1"/>
  <c r="A7" i="21" s="1"/>
  <c r="B2" i="19"/>
  <c r="B3" i="19" s="1"/>
  <c r="A4" i="13"/>
  <c r="A3" i="13"/>
  <c r="H2" i="13" s="1"/>
  <c r="B7" i="9"/>
  <c r="B8" i="9"/>
  <c r="B9" i="9" s="1"/>
  <c r="E2" i="21" l="1"/>
  <c r="B2" i="12" l="1"/>
  <c r="B4" i="10"/>
  <c r="B4" i="12"/>
  <c r="B2" i="10"/>
  <c r="E4" i="21"/>
  <c r="C3" i="21"/>
  <c r="E7" i="21"/>
  <c r="E6" i="21"/>
  <c r="E5" i="21"/>
  <c r="E3" i="21"/>
  <c r="C7" i="21"/>
  <c r="C6" i="21"/>
  <c r="C5" i="21"/>
  <c r="C4" i="21"/>
  <c r="B4" i="13"/>
  <c r="B3" i="11"/>
  <c r="B3" i="10"/>
  <c r="B3" i="13"/>
  <c r="B2" i="13"/>
  <c r="I2" i="13" s="1"/>
  <c r="K2" i="13" s="1"/>
  <c r="M2" i="13" s="1"/>
  <c r="N2" i="13" s="1"/>
  <c r="B3" i="12"/>
  <c r="B5" i="10" l="1"/>
  <c r="P2" i="21"/>
  <c r="B6" i="12" l="1"/>
  <c r="B5" i="11"/>
  <c r="B5" i="12"/>
  <c r="B7" i="12" s="1"/>
  <c r="B8" i="12" s="1"/>
  <c r="M2" i="4"/>
  <c r="D3" i="4" s="1"/>
  <c r="L2" i="4"/>
  <c r="C2" i="4" s="1"/>
  <c r="B6" i="10" l="1"/>
  <c r="B6" i="11"/>
  <c r="C4" i="4"/>
  <c r="E8" i="4"/>
  <c r="E2" i="4"/>
  <c r="E7" i="4"/>
  <c r="C8" i="4"/>
  <c r="E6" i="4"/>
  <c r="C7" i="4"/>
  <c r="E5" i="4"/>
  <c r="C5" i="4"/>
  <c r="C6" i="4"/>
  <c r="E4" i="4"/>
  <c r="F6" i="4"/>
  <c r="F5" i="4"/>
  <c r="F8" i="4"/>
  <c r="F7" i="4"/>
  <c r="D8" i="4"/>
  <c r="F4" i="4"/>
  <c r="D5" i="4"/>
  <c r="D4" i="4"/>
  <c r="D7" i="4"/>
  <c r="D6" i="4"/>
  <c r="F2" i="4"/>
  <c r="F3" i="4"/>
  <c r="E3" i="4"/>
  <c r="C3" i="4"/>
  <c r="D2" i="4"/>
  <c r="A21" i="2"/>
  <c r="A15" i="2"/>
  <c r="A9" i="2"/>
  <c r="A3" i="2"/>
  <c r="B4" i="11" s="1"/>
  <c r="G18" i="1"/>
  <c r="B26" i="2" s="1"/>
  <c r="C26" i="2" s="1"/>
  <c r="D26" i="2" s="1"/>
  <c r="A5" i="18" s="1"/>
  <c r="F18" i="1"/>
  <c r="B25" i="2" s="1"/>
  <c r="C25" i="2" s="1"/>
  <c r="D25" i="2" s="1"/>
  <c r="A5" i="17" s="1"/>
  <c r="E18" i="1"/>
  <c r="B24" i="2" s="1"/>
  <c r="C24" i="2" s="1"/>
  <c r="D24" i="2" s="1"/>
  <c r="A5" i="16" s="1"/>
  <c r="D18" i="1"/>
  <c r="B23" i="2" s="1"/>
  <c r="C23" i="2" s="1"/>
  <c r="D23" i="2" s="1"/>
  <c r="A5" i="15" s="1"/>
  <c r="C18" i="1"/>
  <c r="B22" i="2" s="1"/>
  <c r="C22" i="2" s="1"/>
  <c r="D22" i="2" s="1"/>
  <c r="A5" i="14" s="1"/>
  <c r="B18" i="1"/>
  <c r="B21" i="2" s="1"/>
  <c r="C21" i="2" s="1"/>
  <c r="D21" i="2" s="1"/>
  <c r="A5" i="8" s="1"/>
  <c r="G14" i="1"/>
  <c r="B20" i="2" s="1"/>
  <c r="C20" i="2" s="1"/>
  <c r="D20" i="2" s="1"/>
  <c r="A4" i="18" s="1"/>
  <c r="F14" i="1"/>
  <c r="B19" i="2" s="1"/>
  <c r="C19" i="2" s="1"/>
  <c r="D19" i="2" s="1"/>
  <c r="A4" i="17" s="1"/>
  <c r="E14" i="1"/>
  <c r="B18" i="2" s="1"/>
  <c r="C18" i="2" s="1"/>
  <c r="D18" i="2" s="1"/>
  <c r="A4" i="16" s="1"/>
  <c r="D14" i="1"/>
  <c r="B17" i="2" s="1"/>
  <c r="C17" i="2" s="1"/>
  <c r="D17" i="2" s="1"/>
  <c r="A4" i="15" s="1"/>
  <c r="C14" i="1"/>
  <c r="B16" i="2" s="1"/>
  <c r="C16" i="2" s="1"/>
  <c r="D16" i="2" s="1"/>
  <c r="A4" i="14" s="1"/>
  <c r="B14" i="1"/>
  <c r="B15" i="2" s="1"/>
  <c r="C15" i="2" s="1"/>
  <c r="D15" i="2" s="1"/>
  <c r="A4" i="8" s="1"/>
  <c r="C10" i="1"/>
  <c r="B10" i="2" s="1"/>
  <c r="C10" i="2" s="1"/>
  <c r="D10" i="2" s="1"/>
  <c r="A3" i="14" s="1"/>
  <c r="D10" i="1"/>
  <c r="B11" i="2" s="1"/>
  <c r="C11" i="2" s="1"/>
  <c r="D11" i="2" s="1"/>
  <c r="A3" i="15" s="1"/>
  <c r="E10" i="1"/>
  <c r="B12" i="2" s="1"/>
  <c r="C12" i="2" s="1"/>
  <c r="D12" i="2" s="1"/>
  <c r="A3" i="16" s="1"/>
  <c r="F10" i="1"/>
  <c r="B13" i="2" s="1"/>
  <c r="C13" i="2" s="1"/>
  <c r="D13" i="2" s="1"/>
  <c r="A3" i="17" s="1"/>
  <c r="G10" i="1"/>
  <c r="B14" i="2" s="1"/>
  <c r="C14" i="2" s="1"/>
  <c r="D14" i="2" s="1"/>
  <c r="A3" i="18" s="1"/>
  <c r="B10" i="1"/>
  <c r="B9" i="2" s="1"/>
  <c r="C9" i="2" s="1"/>
  <c r="D9" i="2" s="1"/>
  <c r="A3" i="8" s="1"/>
  <c r="C6" i="1"/>
  <c r="B4" i="2" s="1"/>
  <c r="C4" i="2" s="1"/>
  <c r="D6" i="1"/>
  <c r="B5" i="2" s="1"/>
  <c r="C5" i="2" s="1"/>
  <c r="E6" i="1"/>
  <c r="B6" i="2" s="1"/>
  <c r="C6" i="2" s="1"/>
  <c r="F6" i="1"/>
  <c r="B7" i="2" s="1"/>
  <c r="G6" i="1"/>
  <c r="B8" i="2" s="1"/>
  <c r="C8" i="2" s="1"/>
  <c r="B6" i="1"/>
  <c r="B3" i="2" s="1"/>
  <c r="C3" i="2" s="1"/>
  <c r="C7" i="2" l="1"/>
  <c r="A6" i="5" s="1"/>
  <c r="B2" i="11"/>
  <c r="B7" i="11" s="1"/>
  <c r="B8" i="11" s="1"/>
  <c r="D5" i="2"/>
  <c r="A4" i="5"/>
  <c r="D6" i="2"/>
  <c r="A5" i="5"/>
  <c r="D3" i="2"/>
  <c r="A2" i="5"/>
  <c r="D8" i="2"/>
  <c r="A7" i="5"/>
  <c r="E26" i="2"/>
  <c r="B5" i="18" s="1"/>
  <c r="D4" i="2"/>
  <c r="A3" i="5"/>
  <c r="G5" i="4"/>
  <c r="P2" i="4"/>
  <c r="G4" i="4"/>
  <c r="G6" i="4"/>
  <c r="G7" i="4"/>
  <c r="G2" i="4"/>
  <c r="G8" i="4"/>
  <c r="G3" i="4"/>
  <c r="E6" i="2"/>
  <c r="D7" i="2"/>
  <c r="E10" i="2"/>
  <c r="B3" i="14" s="1"/>
  <c r="E5" i="2"/>
  <c r="E18" i="2"/>
  <c r="B4" i="16" s="1"/>
  <c r="E22" i="2"/>
  <c r="B5" i="14" s="1"/>
  <c r="E23" i="2"/>
  <c r="B5" i="15" s="1"/>
  <c r="E4" i="2"/>
  <c r="E24" i="2"/>
  <c r="B5" i="16" s="1"/>
  <c r="E3" i="2"/>
  <c r="B2" i="8" s="1"/>
  <c r="E25" i="2"/>
  <c r="B5" i="17" s="1"/>
  <c r="E8" i="2"/>
  <c r="E21" i="2"/>
  <c r="B5" i="8" s="1"/>
  <c r="E17" i="2"/>
  <c r="B4" i="15" s="1"/>
  <c r="E20" i="2"/>
  <c r="B4" i="18" s="1"/>
  <c r="E19" i="2"/>
  <c r="B4" i="17" s="1"/>
  <c r="E15" i="2"/>
  <c r="B4" i="8" s="1"/>
  <c r="E16" i="2"/>
  <c r="B4" i="14" s="1"/>
  <c r="E13" i="2"/>
  <c r="B3" i="17" s="1"/>
  <c r="E12" i="2"/>
  <c r="B3" i="16" s="1"/>
  <c r="E11" i="2"/>
  <c r="B3" i="15" s="1"/>
  <c r="E9" i="2"/>
  <c r="B3" i="8" s="1"/>
  <c r="E14" i="2"/>
  <c r="B3" i="18" s="1"/>
  <c r="M2" i="8" l="1"/>
  <c r="E7" i="2"/>
  <c r="B2" i="18"/>
  <c r="A7" i="7"/>
  <c r="A2" i="14"/>
  <c r="A3" i="6"/>
  <c r="A2" i="16"/>
  <c r="A5" i="6"/>
  <c r="B2" i="17"/>
  <c r="A6" i="7"/>
  <c r="A2" i="7"/>
  <c r="A2" i="17"/>
  <c r="A6" i="6"/>
  <c r="N2" i="4"/>
  <c r="O2" i="4" s="1"/>
  <c r="H3" i="4" s="1"/>
  <c r="I3" i="4" s="1"/>
  <c r="A2" i="15"/>
  <c r="A4" i="6"/>
  <c r="B2" i="15"/>
  <c r="A4" i="7"/>
  <c r="B2" i="14"/>
  <c r="A3" i="7"/>
  <c r="H2" i="5"/>
  <c r="B4" i="5" s="1"/>
  <c r="B2" i="16"/>
  <c r="A5" i="7"/>
  <c r="A2" i="18"/>
  <c r="A7" i="6"/>
  <c r="A2" i="8"/>
  <c r="L2" i="8" s="1"/>
  <c r="C2" i="8" s="1"/>
  <c r="A2" i="6"/>
  <c r="H5" i="4" l="1"/>
  <c r="I5" i="4" s="1"/>
  <c r="B3" i="5"/>
  <c r="B2" i="5"/>
  <c r="L2" i="14"/>
  <c r="E2" i="14" s="1"/>
  <c r="M2" i="16"/>
  <c r="F2" i="16" s="1"/>
  <c r="L2" i="17"/>
  <c r="E2" i="17" s="1"/>
  <c r="H2" i="7"/>
  <c r="B9" i="11" s="1"/>
  <c r="L2" i="18"/>
  <c r="E2" i="18" s="1"/>
  <c r="H7" i="4"/>
  <c r="I7" i="4" s="1"/>
  <c r="D2" i="8"/>
  <c r="M2" i="17"/>
  <c r="M2" i="14"/>
  <c r="D2" i="14" s="1"/>
  <c r="H6" i="4"/>
  <c r="I6" i="4" s="1"/>
  <c r="B5" i="5"/>
  <c r="H4" i="4"/>
  <c r="I4" i="4" s="1"/>
  <c r="R2" i="4" s="1"/>
  <c r="R4" i="4" s="1"/>
  <c r="R6" i="4" s="1"/>
  <c r="H2" i="4"/>
  <c r="I2" i="4" s="1"/>
  <c r="M2" i="15"/>
  <c r="F2" i="15" s="1"/>
  <c r="L2" i="16"/>
  <c r="E2" i="16" s="1"/>
  <c r="H8" i="4"/>
  <c r="I8" i="4" s="1"/>
  <c r="B9" i="12"/>
  <c r="B6" i="5"/>
  <c r="H2" i="6"/>
  <c r="B7" i="5"/>
  <c r="L2" i="15"/>
  <c r="M2" i="18"/>
  <c r="F2" i="18" s="1"/>
  <c r="Q2" i="4" l="1"/>
  <c r="Q4" i="4" s="1"/>
  <c r="Q6" i="4" s="1"/>
  <c r="B4" i="7"/>
  <c r="B7" i="7"/>
  <c r="B6" i="7"/>
  <c r="B3" i="7"/>
  <c r="E2" i="8"/>
  <c r="F2" i="8"/>
  <c r="C2" i="17"/>
  <c r="I2" i="5"/>
  <c r="K2" i="5" s="1"/>
  <c r="M2" i="5" s="1"/>
  <c r="N2" i="5" s="1"/>
  <c r="D2" i="15"/>
  <c r="C2" i="14"/>
  <c r="C2" i="16"/>
  <c r="B2" i="7"/>
  <c r="C4" i="15"/>
  <c r="C5" i="15"/>
  <c r="E3" i="15"/>
  <c r="C3" i="15"/>
  <c r="E4" i="15"/>
  <c r="E5" i="15"/>
  <c r="F5" i="17"/>
  <c r="D3" i="17"/>
  <c r="F3" i="17"/>
  <c r="D5" i="17"/>
  <c r="D4" i="17"/>
  <c r="F4" i="17"/>
  <c r="G2" i="18"/>
  <c r="D2" i="16"/>
  <c r="D4" i="16"/>
  <c r="F4" i="16"/>
  <c r="F5" i="16"/>
  <c r="D5" i="16"/>
  <c r="D3" i="16"/>
  <c r="F3" i="16"/>
  <c r="B2" i="6"/>
  <c r="C3" i="16"/>
  <c r="E3" i="16"/>
  <c r="E5" i="16"/>
  <c r="C5" i="16"/>
  <c r="C4" i="16"/>
  <c r="E4" i="16"/>
  <c r="B7" i="6"/>
  <c r="G2" i="16"/>
  <c r="F5" i="8"/>
  <c r="D4" i="8"/>
  <c r="F3" i="8"/>
  <c r="D5" i="8"/>
  <c r="F4" i="8"/>
  <c r="D3" i="8"/>
  <c r="D2" i="18"/>
  <c r="D3" i="18"/>
  <c r="D4" i="18"/>
  <c r="F4" i="18"/>
  <c r="F5" i="18"/>
  <c r="D5" i="18"/>
  <c r="F3" i="18"/>
  <c r="F2" i="14"/>
  <c r="G2" i="14" s="1"/>
  <c r="F4" i="14"/>
  <c r="D4" i="14"/>
  <c r="F5" i="14"/>
  <c r="D5" i="14"/>
  <c r="D3" i="14"/>
  <c r="F3" i="14"/>
  <c r="B3" i="6"/>
  <c r="F2" i="17"/>
  <c r="G2" i="17" s="1"/>
  <c r="E3" i="18"/>
  <c r="E5" i="18"/>
  <c r="C3" i="18"/>
  <c r="E4" i="18"/>
  <c r="C4" i="18"/>
  <c r="C5" i="18"/>
  <c r="C5" i="17"/>
  <c r="E5" i="17"/>
  <c r="C4" i="17"/>
  <c r="E4" i="17"/>
  <c r="C3" i="17"/>
  <c r="E3" i="17"/>
  <c r="C3" i="14"/>
  <c r="C4" i="14"/>
  <c r="E4" i="14"/>
  <c r="E3" i="14"/>
  <c r="C5" i="14"/>
  <c r="E5" i="14"/>
  <c r="B4" i="6"/>
  <c r="C2" i="15"/>
  <c r="D3" i="15"/>
  <c r="D4" i="15"/>
  <c r="F4" i="15"/>
  <c r="D5" i="15"/>
  <c r="F5" i="15"/>
  <c r="F3" i="15"/>
  <c r="E2" i="15"/>
  <c r="G2" i="15" s="1"/>
  <c r="B5" i="6"/>
  <c r="E5" i="8"/>
  <c r="C5" i="8"/>
  <c r="E4" i="8"/>
  <c r="C4" i="8"/>
  <c r="E3" i="8"/>
  <c r="C3" i="8"/>
  <c r="D2" i="17"/>
  <c r="C2" i="18"/>
  <c r="B6" i="6"/>
  <c r="B5" i="7"/>
  <c r="J3" i="4"/>
  <c r="J4" i="4"/>
  <c r="J5" i="4"/>
  <c r="J6" i="4"/>
  <c r="J7" i="4"/>
  <c r="J8" i="4"/>
  <c r="J2" i="4"/>
  <c r="G3" i="14" l="1"/>
  <c r="G5" i="14"/>
  <c r="G2" i="8"/>
  <c r="G5" i="17"/>
  <c r="G5" i="8"/>
  <c r="G4" i="8"/>
  <c r="G3" i="17"/>
  <c r="G4" i="17"/>
  <c r="G5" i="16"/>
  <c r="P2" i="8"/>
  <c r="P2" i="17"/>
  <c r="G5" i="18"/>
  <c r="G3" i="8"/>
  <c r="G4" i="14"/>
  <c r="I2" i="7"/>
  <c r="K2" i="7" s="1"/>
  <c r="M2" i="7" s="1"/>
  <c r="N2" i="7" s="1"/>
  <c r="P2" i="16"/>
  <c r="P2" i="14"/>
  <c r="G4" i="15"/>
  <c r="G3" i="15"/>
  <c r="G3" i="16"/>
  <c r="G4" i="16"/>
  <c r="P2" i="15"/>
  <c r="P2" i="18"/>
  <c r="G4" i="18"/>
  <c r="G3" i="18"/>
  <c r="I2" i="6"/>
  <c r="K2" i="6" s="1"/>
  <c r="M2" i="6" s="1"/>
  <c r="G5" i="15"/>
  <c r="N2" i="14" l="1"/>
  <c r="O2" i="14" s="1"/>
  <c r="H5" i="14" s="1"/>
  <c r="I5" i="14" s="1"/>
  <c r="N2" i="17"/>
  <c r="F4" i="19" s="1"/>
  <c r="B6" i="21" s="1"/>
  <c r="N2" i="8"/>
  <c r="O2" i="8" s="1"/>
  <c r="N2" i="15"/>
  <c r="N2" i="18"/>
  <c r="N2" i="16"/>
  <c r="B7" i="10"/>
  <c r="B8" i="10" s="1"/>
  <c r="B9" i="10" s="1"/>
  <c r="N2" i="6"/>
  <c r="C4" i="19" l="1"/>
  <c r="B3" i="21" s="1"/>
  <c r="O2" i="17"/>
  <c r="H2" i="17" s="1"/>
  <c r="I2" i="17" s="1"/>
  <c r="H4" i="8"/>
  <c r="I4" i="8" s="1"/>
  <c r="H5" i="8"/>
  <c r="I5" i="8" s="1"/>
  <c r="B4" i="19"/>
  <c r="B2" i="21" s="1"/>
  <c r="H2" i="14"/>
  <c r="I2" i="14" s="1"/>
  <c r="H3" i="14"/>
  <c r="I3" i="14" s="1"/>
  <c r="H4" i="14"/>
  <c r="I4" i="14" s="1"/>
  <c r="H2" i="8"/>
  <c r="I2" i="8" s="1"/>
  <c r="H3" i="8"/>
  <c r="I3" i="8" s="1"/>
  <c r="O2" i="18"/>
  <c r="G4" i="19"/>
  <c r="B7" i="21" s="1"/>
  <c r="O2" i="16"/>
  <c r="E4" i="19"/>
  <c r="B5" i="21" s="1"/>
  <c r="O2" i="15"/>
  <c r="D4" i="19"/>
  <c r="B4" i="21" s="1"/>
  <c r="H5" i="17" l="1"/>
  <c r="I5" i="17" s="1"/>
  <c r="H3" i="17"/>
  <c r="I3" i="17" s="1"/>
  <c r="H4" i="17"/>
  <c r="I4" i="17" s="1"/>
  <c r="R2" i="14"/>
  <c r="R4" i="14" s="1"/>
  <c r="R6" i="14" s="1"/>
  <c r="R2" i="8"/>
  <c r="R4" i="8" s="1"/>
  <c r="R6" i="8" s="1"/>
  <c r="Q2" i="8"/>
  <c r="Q4" i="8" s="1"/>
  <c r="Q6" i="8" s="1"/>
  <c r="Q2" i="14"/>
  <c r="Q4" i="14" s="1"/>
  <c r="Q6" i="14" s="1"/>
  <c r="M2" i="21"/>
  <c r="H3" i="18"/>
  <c r="I3" i="18" s="1"/>
  <c r="H2" i="18"/>
  <c r="I2" i="18" s="1"/>
  <c r="H4" i="18"/>
  <c r="I4" i="18" s="1"/>
  <c r="H5" i="18"/>
  <c r="I5" i="18" s="1"/>
  <c r="H2" i="16"/>
  <c r="I2" i="16" s="1"/>
  <c r="H3" i="16"/>
  <c r="I3" i="16" s="1"/>
  <c r="H4" i="16"/>
  <c r="I4" i="16" s="1"/>
  <c r="H5" i="16"/>
  <c r="I5" i="16" s="1"/>
  <c r="H5" i="15"/>
  <c r="I5" i="15" s="1"/>
  <c r="H4" i="15"/>
  <c r="I4" i="15" s="1"/>
  <c r="H3" i="15"/>
  <c r="I3" i="15" s="1"/>
  <c r="H2" i="15"/>
  <c r="I2" i="15" s="1"/>
  <c r="D2" i="21" l="1"/>
  <c r="R2" i="17"/>
  <c r="R4" i="17" s="1"/>
  <c r="R6" i="17" s="1"/>
  <c r="Q2" i="17"/>
  <c r="Q4" i="17" s="1"/>
  <c r="Q6" i="17" s="1"/>
  <c r="J2" i="8"/>
  <c r="J4" i="8"/>
  <c r="J3" i="8"/>
  <c r="J2" i="14"/>
  <c r="J5" i="14"/>
  <c r="J3" i="14"/>
  <c r="J4" i="14"/>
  <c r="J5" i="8"/>
  <c r="F5" i="21"/>
  <c r="G5" i="21" s="1"/>
  <c r="F3" i="21"/>
  <c r="G3" i="21" s="1"/>
  <c r="F6" i="21"/>
  <c r="G6" i="21" s="1"/>
  <c r="F4" i="21"/>
  <c r="G4" i="21" s="1"/>
  <c r="D5" i="21"/>
  <c r="D3" i="21"/>
  <c r="D4" i="21"/>
  <c r="F7" i="21"/>
  <c r="G7" i="21" s="1"/>
  <c r="D7" i="21"/>
  <c r="D6" i="21"/>
  <c r="F2" i="21"/>
  <c r="G2" i="21" s="1"/>
  <c r="N2" i="21" s="1"/>
  <c r="N5" i="21" s="1"/>
  <c r="Q2" i="18"/>
  <c r="Q4" i="18" s="1"/>
  <c r="Q6" i="18" s="1"/>
  <c r="R2" i="18"/>
  <c r="R2" i="16"/>
  <c r="Q2" i="16"/>
  <c r="Q4" i="16" s="1"/>
  <c r="Q6" i="16" s="1"/>
  <c r="Q2" i="15"/>
  <c r="Q4" i="15" s="1"/>
  <c r="Q6" i="15" s="1"/>
  <c r="R2" i="15"/>
  <c r="O2" i="21" l="1"/>
  <c r="J5" i="17"/>
  <c r="J3" i="17"/>
  <c r="J4" i="17"/>
  <c r="J2" i="17"/>
  <c r="H6" i="21"/>
  <c r="I6" i="21" s="1"/>
  <c r="R4" i="18"/>
  <c r="R6" i="18" s="1"/>
  <c r="J2" i="18"/>
  <c r="J4" i="18"/>
  <c r="J3" i="18"/>
  <c r="J5" i="18"/>
  <c r="R4" i="16"/>
  <c r="R6" i="16" s="1"/>
  <c r="J3" i="16"/>
  <c r="J5" i="16"/>
  <c r="J2" i="16"/>
  <c r="J4" i="16"/>
  <c r="R4" i="15"/>
  <c r="R6" i="15" s="1"/>
  <c r="J5" i="15"/>
  <c r="J4" i="15"/>
  <c r="J2" i="15"/>
  <c r="J3" i="15"/>
  <c r="H4" i="21" l="1"/>
  <c r="I4" i="21" s="1"/>
  <c r="H3" i="21"/>
  <c r="I3" i="21" s="1"/>
  <c r="H5" i="21"/>
  <c r="I5" i="21" s="1"/>
  <c r="H7" i="21"/>
  <c r="I7" i="21" s="1"/>
  <c r="H2" i="21"/>
  <c r="I2" i="21" s="1"/>
  <c r="R2" i="21" l="1"/>
  <c r="R4" i="21" s="1"/>
  <c r="R6" i="21" s="1"/>
  <c r="Q2" i="21"/>
  <c r="Q4" i="21" s="1"/>
  <c r="Q6" i="21" s="1"/>
  <c r="J6" i="21" l="1"/>
  <c r="J3" i="21"/>
  <c r="J2" i="21"/>
  <c r="J4" i="21"/>
  <c r="J7" i="21"/>
  <c r="J5" i="21"/>
</calcChain>
</file>

<file path=xl/sharedStrings.xml><?xml version="1.0" encoding="utf-8"?>
<sst xmlns="http://schemas.openxmlformats.org/spreadsheetml/2006/main" count="312" uniqueCount="84">
  <si>
    <t>Масса груза, г</t>
  </si>
  <si>
    <t>Положение утяжелителей</t>
  </si>
  <si>
    <t>1.риска</t>
  </si>
  <si>
    <t>2.риска</t>
  </si>
  <si>
    <t>3.риска</t>
  </si>
  <si>
    <t>4.риска</t>
  </si>
  <si>
    <t>5.риска</t>
  </si>
  <si>
    <t>6.риска</t>
  </si>
  <si>
    <r>
      <t>t</t>
    </r>
    <r>
      <rPr>
        <vertAlign val="subscript"/>
        <sz val="11"/>
        <color theme="1"/>
        <rFont val="Calibri"/>
        <family val="2"/>
        <charset val="204"/>
        <scheme val="minor"/>
      </rPr>
      <t>ср</t>
    </r>
    <r>
      <rPr>
        <sz val="11"/>
        <color theme="1"/>
        <rFont val="Calibri"/>
        <family val="2"/>
        <charset val="204"/>
        <scheme val="minor"/>
      </rPr>
      <t>, с</t>
    </r>
  </si>
  <si>
    <r>
      <rPr>
        <sz val="11"/>
        <color theme="1"/>
        <rFont val="Calibri"/>
        <family val="2"/>
        <charset val="204"/>
        <scheme val="minor"/>
      </rPr>
      <t>a, м/с</t>
    </r>
    <r>
      <rPr>
        <vertAlign val="superscript"/>
        <sz val="11"/>
        <color theme="1"/>
        <rFont val="Calibri"/>
        <family val="2"/>
        <charset val="204"/>
        <scheme val="minor"/>
      </rPr>
      <t>2</t>
    </r>
  </si>
  <si>
    <r>
      <rPr>
        <sz val="11"/>
        <color theme="1"/>
        <rFont val="Calibri"/>
        <family val="2"/>
        <charset val="204"/>
      </rPr>
      <t>ε, с</t>
    </r>
    <r>
      <rPr>
        <vertAlign val="superscript"/>
        <sz val="11"/>
        <color theme="1"/>
        <rFont val="Calibri"/>
        <family val="2"/>
        <charset val="204"/>
      </rPr>
      <t>-2</t>
    </r>
  </si>
  <si>
    <t>M, Н*м</t>
  </si>
  <si>
    <t>h</t>
  </si>
  <si>
    <t>d</t>
  </si>
  <si>
    <r>
      <t>Квадрат разности (x-</t>
    </r>
    <r>
      <rPr>
        <sz val="11"/>
        <color theme="1"/>
        <rFont val="Calibri"/>
        <family val="2"/>
        <charset val="204"/>
        <scheme val="minor"/>
      </rPr>
      <t>x</t>
    </r>
    <r>
      <rPr>
        <vertAlign val="subscript"/>
        <sz val="11"/>
        <color theme="1"/>
        <rFont val="Calibri"/>
        <family val="2"/>
        <charset val="204"/>
        <scheme val="minor"/>
      </rPr>
      <t>ср</t>
    </r>
    <r>
      <rPr>
        <sz val="11"/>
        <color theme="1"/>
        <rFont val="Calibri"/>
        <family val="2"/>
        <charset val="204"/>
        <scheme val="minor"/>
      </rPr>
      <t>)</t>
    </r>
    <r>
      <rPr>
        <vertAlign val="superscript"/>
        <sz val="11"/>
        <color theme="1"/>
        <rFont val="Calibri"/>
        <family val="2"/>
        <charset val="204"/>
        <scheme val="minor"/>
      </rPr>
      <t>2</t>
    </r>
  </si>
  <si>
    <t>Значения x</t>
  </si>
  <si>
    <r>
      <t>Среднее x</t>
    </r>
    <r>
      <rPr>
        <vertAlign val="subscript"/>
        <sz val="11"/>
        <color theme="1"/>
        <rFont val="Calibri"/>
        <family val="2"/>
        <charset val="204"/>
        <scheme val="minor"/>
      </rPr>
      <t>ср</t>
    </r>
  </si>
  <si>
    <r>
      <t>СКО      S</t>
    </r>
    <r>
      <rPr>
        <vertAlign val="subscript"/>
        <sz val="11"/>
        <color theme="1"/>
        <rFont val="Calibri"/>
        <family val="2"/>
        <charset val="204"/>
        <scheme val="minor"/>
      </rPr>
      <t>xср</t>
    </r>
  </si>
  <si>
    <r>
      <t>Коэфф. Стьюдента  t</t>
    </r>
    <r>
      <rPr>
        <vertAlign val="subscript"/>
        <sz val="11"/>
        <color theme="1"/>
        <rFont val="Calibri"/>
        <family val="2"/>
        <charset val="204"/>
      </rPr>
      <t>α,n</t>
    </r>
  </si>
  <si>
    <r>
      <t xml:space="preserve">Доверительный интервал                  </t>
    </r>
    <r>
      <rPr>
        <sz val="11"/>
        <color theme="1"/>
        <rFont val="Calibri"/>
        <family val="2"/>
        <charset val="204"/>
      </rPr>
      <t>Δ</t>
    </r>
    <r>
      <rPr>
        <vertAlign val="subscript"/>
        <sz val="11"/>
        <color theme="1"/>
        <rFont val="Calibri"/>
        <family val="2"/>
        <charset val="204"/>
      </rPr>
      <t>xср</t>
    </r>
  </si>
  <si>
    <r>
      <t xml:space="preserve">Инструментальная погрешность           </t>
    </r>
    <r>
      <rPr>
        <sz val="11"/>
        <color theme="1"/>
        <rFont val="Calibri"/>
        <family val="2"/>
        <charset val="204"/>
      </rPr>
      <t>Δ</t>
    </r>
    <r>
      <rPr>
        <vertAlign val="subscript"/>
        <sz val="11"/>
        <color theme="1"/>
        <rFont val="Calibri"/>
        <family val="2"/>
        <charset val="204"/>
      </rPr>
      <t>иx</t>
    </r>
  </si>
  <si>
    <r>
      <t xml:space="preserve">Абсолютная погрешность                 </t>
    </r>
    <r>
      <rPr>
        <sz val="11"/>
        <color theme="1"/>
        <rFont val="Calibri"/>
        <family val="2"/>
        <charset val="204"/>
      </rPr>
      <t>Δ</t>
    </r>
    <r>
      <rPr>
        <vertAlign val="subscript"/>
        <sz val="11"/>
        <color theme="1"/>
        <rFont val="Calibri"/>
        <family val="2"/>
        <charset val="204"/>
      </rPr>
      <t>x</t>
    </r>
  </si>
  <si>
    <r>
      <t xml:space="preserve">Относительная погрешность           </t>
    </r>
    <r>
      <rPr>
        <sz val="11"/>
        <color theme="1"/>
        <rFont val="Calibri"/>
        <family val="2"/>
        <charset val="204"/>
      </rPr>
      <t>ε</t>
    </r>
    <r>
      <rPr>
        <vertAlign val="subscript"/>
        <sz val="11"/>
        <color theme="1"/>
        <rFont val="Calibri"/>
        <family val="2"/>
        <charset val="204"/>
      </rPr>
      <t>x</t>
    </r>
  </si>
  <si>
    <t>x</t>
  </si>
  <si>
    <t>y</t>
  </si>
  <si>
    <r>
      <t>Среднее y</t>
    </r>
    <r>
      <rPr>
        <vertAlign val="subscript"/>
        <sz val="11"/>
        <color theme="1"/>
        <rFont val="Calibri"/>
        <family val="2"/>
        <charset val="204"/>
        <scheme val="minor"/>
      </rPr>
      <t>ср</t>
    </r>
  </si>
  <si>
    <t>b</t>
  </si>
  <si>
    <t>a</t>
  </si>
  <si>
    <r>
      <t>Квадрат разности (x-x</t>
    </r>
    <r>
      <rPr>
        <vertAlign val="subscript"/>
        <sz val="11"/>
        <color theme="1"/>
        <rFont val="Calibri"/>
        <family val="2"/>
        <charset val="204"/>
        <scheme val="minor"/>
      </rPr>
      <t>ср</t>
    </r>
    <r>
      <rPr>
        <sz val="11"/>
        <color theme="1"/>
        <rFont val="Calibri"/>
        <family val="2"/>
        <scheme val="minor"/>
      </rPr>
      <t>)</t>
    </r>
    <r>
      <rPr>
        <vertAlign val="superscript"/>
        <sz val="11"/>
        <color theme="1"/>
        <rFont val="Calibri"/>
        <family val="2"/>
        <charset val="204"/>
        <scheme val="minor"/>
      </rPr>
      <t>2</t>
    </r>
  </si>
  <si>
    <r>
      <t>Квадрат разности (y-y</t>
    </r>
    <r>
      <rPr>
        <vertAlign val="subscript"/>
        <sz val="11"/>
        <color theme="1"/>
        <rFont val="Calibri"/>
        <family val="2"/>
        <charset val="204"/>
        <scheme val="minor"/>
      </rPr>
      <t>ср</t>
    </r>
    <r>
      <rPr>
        <sz val="11"/>
        <color theme="1"/>
        <rFont val="Calibri"/>
        <family val="2"/>
        <scheme val="minor"/>
      </rPr>
      <t>)</t>
    </r>
    <r>
      <rPr>
        <vertAlign val="superscript"/>
        <sz val="11"/>
        <color theme="1"/>
        <rFont val="Calibri"/>
        <family val="2"/>
        <charset val="204"/>
        <scheme val="minor"/>
      </rPr>
      <t>2</t>
    </r>
  </si>
  <si>
    <r>
      <t>Разность    x-x</t>
    </r>
    <r>
      <rPr>
        <vertAlign val="subscript"/>
        <sz val="11"/>
        <color theme="1"/>
        <rFont val="Calibri"/>
        <family val="2"/>
        <charset val="204"/>
        <scheme val="minor"/>
      </rPr>
      <t>ср</t>
    </r>
  </si>
  <si>
    <r>
      <t>Разность    y-y</t>
    </r>
    <r>
      <rPr>
        <vertAlign val="subscript"/>
        <sz val="11"/>
        <color theme="1"/>
        <rFont val="Calibri"/>
        <family val="2"/>
        <charset val="204"/>
        <scheme val="minor"/>
      </rPr>
      <t>ср</t>
    </r>
  </si>
  <si>
    <r>
      <t>Произведение        (x-x</t>
    </r>
    <r>
      <rPr>
        <vertAlign val="subscript"/>
        <sz val="11"/>
        <color theme="1"/>
        <rFont val="Calibri"/>
        <family val="2"/>
        <charset val="204"/>
        <scheme val="minor"/>
      </rPr>
      <t>ср</t>
    </r>
    <r>
      <rPr>
        <sz val="11"/>
        <color theme="1"/>
        <rFont val="Calibri"/>
        <family val="2"/>
        <scheme val="minor"/>
      </rPr>
      <t>)(y-y</t>
    </r>
    <r>
      <rPr>
        <vertAlign val="subscript"/>
        <sz val="11"/>
        <color theme="1"/>
        <rFont val="Calibri"/>
        <family val="2"/>
        <charset val="204"/>
        <scheme val="minor"/>
      </rPr>
      <t>ср</t>
    </r>
    <r>
      <rPr>
        <sz val="11"/>
        <color theme="1"/>
        <rFont val="Calibri"/>
        <family val="2"/>
        <scheme val="minor"/>
      </rPr>
      <t>)</t>
    </r>
  </si>
  <si>
    <t>D</t>
  </si>
  <si>
    <r>
      <t>S</t>
    </r>
    <r>
      <rPr>
        <vertAlign val="subscript"/>
        <sz val="11"/>
        <color theme="1"/>
        <rFont val="Calibri"/>
        <family val="2"/>
        <charset val="204"/>
        <scheme val="minor"/>
      </rPr>
      <t>b</t>
    </r>
    <r>
      <rPr>
        <vertAlign val="superscript"/>
        <sz val="11"/>
        <color theme="1"/>
        <rFont val="Calibri"/>
        <family val="2"/>
        <charset val="204"/>
        <scheme val="minor"/>
      </rPr>
      <t>2</t>
    </r>
  </si>
  <si>
    <r>
      <t>S</t>
    </r>
    <r>
      <rPr>
        <vertAlign val="subscript"/>
        <sz val="11"/>
        <color theme="1"/>
        <rFont val="Calibri"/>
        <family val="2"/>
        <charset val="204"/>
        <scheme val="minor"/>
      </rPr>
      <t>a</t>
    </r>
    <r>
      <rPr>
        <vertAlign val="superscript"/>
        <sz val="11"/>
        <color theme="1"/>
        <rFont val="Calibri"/>
        <family val="2"/>
        <charset val="204"/>
        <scheme val="minor"/>
      </rPr>
      <t>2</t>
    </r>
  </si>
  <si>
    <r>
      <t>d</t>
    </r>
    <r>
      <rPr>
        <vertAlign val="superscript"/>
        <sz val="11"/>
        <color theme="1"/>
        <rFont val="Calibri"/>
        <family val="2"/>
        <charset val="204"/>
        <scheme val="minor"/>
      </rPr>
      <t>2</t>
    </r>
  </si>
  <si>
    <r>
      <rPr>
        <sz val="11"/>
        <color theme="1"/>
        <rFont val="Calibri"/>
        <family val="2"/>
        <charset val="204"/>
      </rPr>
      <t>Δ</t>
    </r>
    <r>
      <rPr>
        <vertAlign val="subscript"/>
        <sz val="11"/>
        <color theme="1"/>
        <rFont val="Calibri"/>
        <family val="2"/>
        <charset val="204"/>
      </rPr>
      <t>y</t>
    </r>
  </si>
  <si>
    <t>Формулы частных производных по переменным:</t>
  </si>
  <si>
    <t>Абсолютная погрешность функции</t>
  </si>
  <si>
    <t>Среднее значение функции</t>
  </si>
  <si>
    <t>Среднее значение переменной</t>
  </si>
  <si>
    <t>Название переменной</t>
  </si>
  <si>
    <t>Абсолютные погрешности переменных</t>
  </si>
  <si>
    <t>Слагаемые</t>
  </si>
  <si>
    <t>ε</t>
  </si>
  <si>
    <t>Относительные погрешности переменных</t>
  </si>
  <si>
    <t>Относительные погрешности функции</t>
  </si>
  <si>
    <t>M</t>
  </si>
  <si>
    <r>
      <t>l</t>
    </r>
    <r>
      <rPr>
        <vertAlign val="subscript"/>
        <sz val="11"/>
        <color theme="1"/>
        <rFont val="Calibri"/>
        <family val="2"/>
        <charset val="204"/>
        <scheme val="minor"/>
      </rPr>
      <t>1</t>
    </r>
  </si>
  <si>
    <r>
      <t>l</t>
    </r>
    <r>
      <rPr>
        <vertAlign val="subscript"/>
        <sz val="11"/>
        <color theme="1"/>
        <rFont val="Calibri"/>
        <family val="2"/>
        <charset val="204"/>
        <scheme val="minor"/>
      </rPr>
      <t>0</t>
    </r>
  </si>
  <si>
    <t>Номера рисок</t>
  </si>
  <si>
    <t>R</t>
  </si>
  <si>
    <r>
      <t>R</t>
    </r>
    <r>
      <rPr>
        <vertAlign val="superscript"/>
        <sz val="11"/>
        <color theme="1"/>
        <rFont val="Calibri"/>
        <family val="2"/>
        <charset val="204"/>
        <scheme val="minor"/>
      </rPr>
      <t>2</t>
    </r>
  </si>
  <si>
    <t>I</t>
  </si>
  <si>
    <r>
      <t>M</t>
    </r>
    <r>
      <rPr>
        <vertAlign val="subscript"/>
        <sz val="11"/>
        <color theme="1"/>
        <rFont val="Calibri"/>
        <family val="2"/>
        <charset val="204"/>
        <scheme val="minor"/>
      </rPr>
      <t>тр</t>
    </r>
  </si>
  <si>
    <r>
      <t>I</t>
    </r>
    <r>
      <rPr>
        <vertAlign val="subscript"/>
        <sz val="11"/>
        <color theme="1"/>
        <rFont val="Calibri"/>
        <family val="2"/>
        <charset val="204"/>
        <scheme val="minor"/>
      </rPr>
      <t>0</t>
    </r>
  </si>
  <si>
    <r>
      <t>4m</t>
    </r>
    <r>
      <rPr>
        <vertAlign val="subscript"/>
        <sz val="11"/>
        <color theme="1"/>
        <rFont val="Calibri"/>
        <family val="2"/>
        <charset val="204"/>
        <scheme val="minor"/>
      </rPr>
      <t>ут</t>
    </r>
  </si>
  <si>
    <r>
      <t>S</t>
    </r>
    <r>
      <rPr>
        <vertAlign val="subscript"/>
        <sz val="11"/>
        <color theme="1"/>
        <rFont val="Calibri"/>
        <family val="2"/>
        <charset val="204"/>
        <scheme val="minor"/>
      </rPr>
      <t>b</t>
    </r>
  </si>
  <si>
    <r>
      <t>S</t>
    </r>
    <r>
      <rPr>
        <vertAlign val="subscript"/>
        <sz val="11"/>
        <color theme="1"/>
        <rFont val="Calibri"/>
        <family val="2"/>
        <charset val="204"/>
        <scheme val="minor"/>
      </rPr>
      <t>a</t>
    </r>
  </si>
  <si>
    <r>
      <t>2S</t>
    </r>
    <r>
      <rPr>
        <vertAlign val="subscript"/>
        <sz val="11"/>
        <color theme="1"/>
        <rFont val="Calibri"/>
        <family val="2"/>
        <charset val="204"/>
        <scheme val="minor"/>
      </rPr>
      <t>b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theme="1"/>
        <rFont val="Calibri"/>
        <family val="2"/>
        <charset val="204"/>
      </rPr>
      <t>Δ</t>
    </r>
    <r>
      <rPr>
        <vertAlign val="subscript"/>
        <sz val="11"/>
        <color theme="1"/>
        <rFont val="Calibri"/>
        <family val="2"/>
        <charset val="204"/>
      </rPr>
      <t>b</t>
    </r>
  </si>
  <si>
    <r>
      <t>2S</t>
    </r>
    <r>
      <rPr>
        <vertAlign val="subscript"/>
        <sz val="11"/>
        <color theme="1"/>
        <rFont val="Calibri"/>
        <family val="2"/>
        <charset val="204"/>
        <scheme val="minor"/>
      </rPr>
      <t>a</t>
    </r>
    <r>
      <rPr>
        <sz val="11"/>
        <color theme="1"/>
        <rFont val="Calibri"/>
        <family val="2"/>
        <scheme val="minor"/>
      </rPr>
      <t xml:space="preserve"> = </t>
    </r>
    <r>
      <rPr>
        <sz val="11"/>
        <color theme="1"/>
        <rFont val="Calibri"/>
        <family val="2"/>
        <charset val="204"/>
      </rPr>
      <t>Δ</t>
    </r>
    <r>
      <rPr>
        <vertAlign val="subscript"/>
        <sz val="11"/>
        <color theme="1"/>
        <rFont val="Calibri"/>
        <family val="2"/>
        <charset val="204"/>
      </rPr>
      <t>a</t>
    </r>
  </si>
  <si>
    <t>Таблица 1. Протокол измерений времени падения груза при разной массе груза и разном положении утяжелителей на крестовине</t>
  </si>
  <si>
    <t>Таблица 2. Значения ускорения каретки, углового ускорения крестовины и момента силы натяжения нити для средних значений времени</t>
  </si>
  <si>
    <t>R, м</t>
  </si>
  <si>
    <t>Масса груза, кг</t>
  </si>
  <si>
    <t>Таблица 3. Значения момента инерции для утяжелителей в разных положениях</t>
  </si>
  <si>
    <r>
      <t>t</t>
    </r>
    <r>
      <rPr>
        <vertAlign val="subscript"/>
        <sz val="10"/>
        <color theme="1"/>
        <rFont val="Calibri"/>
        <family val="2"/>
        <scheme val="minor"/>
      </rPr>
      <t>ср</t>
    </r>
    <r>
      <rPr>
        <sz val="10"/>
        <color theme="1"/>
        <rFont val="Calibri"/>
        <family val="2"/>
        <scheme val="minor"/>
      </rPr>
      <t>, с</t>
    </r>
  </si>
  <si>
    <r>
      <rPr>
        <sz val="10"/>
        <color theme="1"/>
        <rFont val="Calibri"/>
        <family val="2"/>
        <scheme val="minor"/>
      </rPr>
      <t>a, м/с</t>
    </r>
    <r>
      <rPr>
        <vertAlign val="superscript"/>
        <sz val="10"/>
        <color theme="1"/>
        <rFont val="Calibri"/>
        <family val="2"/>
        <scheme val="minor"/>
      </rPr>
      <t>2</t>
    </r>
  </si>
  <si>
    <r>
      <t>ε, с</t>
    </r>
    <r>
      <rPr>
        <vertAlign val="superscript"/>
        <sz val="10"/>
        <color theme="1"/>
        <rFont val="Calibri"/>
        <family val="2"/>
      </rPr>
      <t>-2</t>
    </r>
  </si>
  <si>
    <r>
      <t>R</t>
    </r>
    <r>
      <rPr>
        <vertAlign val="superscript"/>
        <sz val="10"/>
        <color theme="1"/>
        <rFont val="Calibri"/>
        <family val="2"/>
        <scheme val="minor"/>
      </rPr>
      <t>2</t>
    </r>
    <r>
      <rPr>
        <sz val="10"/>
        <color theme="1"/>
        <rFont val="Calibri"/>
        <family val="2"/>
        <scheme val="minor"/>
      </rPr>
      <t>, м</t>
    </r>
  </si>
  <si>
    <r>
      <t>I, кг*м</t>
    </r>
    <r>
      <rPr>
        <vertAlign val="superscript"/>
        <sz val="10"/>
        <color theme="1"/>
        <rFont val="Calibri"/>
        <family val="2"/>
        <scheme val="minor"/>
      </rPr>
      <t>2</t>
    </r>
  </si>
  <si>
    <t>Радуемся сделанной лабе!</t>
  </si>
  <si>
    <t>Далее таблицы вырезаем ножницами и вставляем в отчет (можно и копировать, но ножницы как по мне лучше)</t>
  </si>
  <si>
    <t>На листы печать внимание оформлять не нужно, это сделано для проверки наличия всех графиков и таблиц после подсчета</t>
  </si>
  <si>
    <t>Берете замеры, вставляете в таблицу 1 среднее время и прочие вещи, которые надо считать, появятся сами</t>
  </si>
  <si>
    <t>Все погрешности и графики основаны на первой таблице и параметрах установки</t>
  </si>
  <si>
    <t>Номер измерения</t>
  </si>
  <si>
    <r>
      <t xml:space="preserve">Время падения </t>
    </r>
    <r>
      <rPr>
        <i/>
        <sz val="11"/>
        <color theme="1"/>
        <rFont val="Calibri"/>
        <family val="2"/>
        <charset val="204"/>
        <scheme val="minor"/>
      </rPr>
      <t>t</t>
    </r>
    <r>
      <rPr>
        <sz val="11"/>
        <color theme="1"/>
        <rFont val="Calibri"/>
        <family val="2"/>
        <charset val="204"/>
        <scheme val="minor"/>
      </rPr>
      <t>, с (1-я риска)</t>
    </r>
  </si>
  <si>
    <r>
      <t>t</t>
    </r>
    <r>
      <rPr>
        <sz val="11"/>
        <color theme="1"/>
        <rFont val="Calibri"/>
        <family val="2"/>
        <charset val="204"/>
        <scheme val="minor"/>
      </rPr>
      <t>, с (2-я риска)</t>
    </r>
  </si>
  <si>
    <r>
      <t>t</t>
    </r>
    <r>
      <rPr>
        <sz val="11"/>
        <color theme="1"/>
        <rFont val="Calibri"/>
        <family val="2"/>
        <charset val="204"/>
        <scheme val="minor"/>
      </rPr>
      <t>, с (3-я риска)</t>
    </r>
  </si>
  <si>
    <r>
      <t>t</t>
    </r>
    <r>
      <rPr>
        <sz val="11"/>
        <color theme="1"/>
        <rFont val="Calibri"/>
        <family val="2"/>
        <charset val="204"/>
        <scheme val="minor"/>
      </rPr>
      <t>, с (4-я риска)</t>
    </r>
  </si>
  <si>
    <r>
      <t>t</t>
    </r>
    <r>
      <rPr>
        <sz val="11"/>
        <color theme="1"/>
        <rFont val="Calibri"/>
        <family val="2"/>
        <charset val="204"/>
        <scheme val="minor"/>
      </rPr>
      <t>, с (5-я риска)</t>
    </r>
  </si>
  <si>
    <r>
      <t>t</t>
    </r>
    <r>
      <rPr>
        <sz val="11"/>
        <color theme="1"/>
        <rFont val="Calibri"/>
        <family val="2"/>
        <charset val="204"/>
        <scheme val="minor"/>
      </rPr>
      <t>, с (6-я риска)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</si>
</sst>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0.0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vertAlign val="subscript"/>
      <sz val="11"/>
      <color theme="1"/>
      <name val="Calibri"/>
      <family val="2"/>
      <charset val="204"/>
      <scheme val="minor"/>
    </font>
    <font>
      <vertAlign val="superscript"/>
      <sz val="11"/>
      <color theme="1"/>
      <name val="Calibri"/>
      <family val="2"/>
      <charset val="204"/>
      <scheme val="minor"/>
    </font>
    <font>
      <vertAlign val="superscript"/>
      <sz val="11"/>
      <color theme="1"/>
      <name val="Calibri"/>
      <family val="2"/>
      <charset val="204"/>
    </font>
    <font>
      <vertAlign val="subscript"/>
      <sz val="11"/>
      <color theme="1"/>
      <name val="Calibri"/>
      <family val="2"/>
      <charset val="204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vertAlign val="subscript"/>
      <sz val="10"/>
      <color theme="1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sz val="10"/>
      <color theme="1"/>
      <name val="Calibri"/>
      <family val="2"/>
    </font>
    <font>
      <vertAlign val="superscript"/>
      <sz val="10"/>
      <color theme="1"/>
      <name val="Calibri"/>
      <family val="2"/>
    </font>
    <font>
      <i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7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10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2" fontId="0" fillId="0" borderId="1" xfId="0" applyNumberFormat="1" applyBorder="1"/>
    <xf numFmtId="2" fontId="0" fillId="0" borderId="2" xfId="0" applyNumberFormat="1" applyBorder="1"/>
    <xf numFmtId="2" fontId="0" fillId="0" borderId="3" xfId="0" applyNumberFormat="1" applyBorder="1"/>
    <xf numFmtId="2" fontId="0" fillId="0" borderId="0" xfId="0" applyNumberFormat="1" applyBorder="1"/>
    <xf numFmtId="2" fontId="0" fillId="0" borderId="11" xfId="0" applyNumberFormat="1" applyBorder="1"/>
    <xf numFmtId="2" fontId="0" fillId="0" borderId="7" xfId="0" applyNumberFormat="1" applyBorder="1"/>
    <xf numFmtId="2" fontId="0" fillId="0" borderId="0" xfId="0" applyNumberFormat="1"/>
    <xf numFmtId="2" fontId="0" fillId="0" borderId="13" xfId="0" applyNumberFormat="1" applyBorder="1"/>
    <xf numFmtId="2" fontId="0" fillId="0" borderId="12" xfId="0" applyNumberFormat="1" applyBorder="1"/>
    <xf numFmtId="0" fontId="0" fillId="0" borderId="1" xfId="0" applyBorder="1" applyAlignment="1">
      <alignment vertical="center"/>
    </xf>
    <xf numFmtId="0" fontId="3" fillId="0" borderId="1" xfId="0" applyFont="1" applyBorder="1"/>
    <xf numFmtId="0" fontId="2" fillId="0" borderId="1" xfId="0" applyFont="1" applyBorder="1"/>
    <xf numFmtId="2" fontId="0" fillId="0" borderId="14" xfId="0" applyNumberFormat="1" applyBorder="1"/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2" fontId="2" fillId="0" borderId="0" xfId="0" applyNumberFormat="1" applyFont="1"/>
    <xf numFmtId="0" fontId="0" fillId="0" borderId="0" xfId="0" applyAlignment="1">
      <alignment vertical="center"/>
    </xf>
    <xf numFmtId="0" fontId="2" fillId="0" borderId="0" xfId="0" applyFont="1"/>
    <xf numFmtId="2" fontId="0" fillId="0" borderId="0" xfId="0" applyNumberFormat="1" applyAlignment="1">
      <alignment vertical="center"/>
    </xf>
    <xf numFmtId="9" fontId="0" fillId="0" borderId="0" xfId="1" applyFont="1"/>
    <xf numFmtId="0" fontId="0" fillId="0" borderId="1" xfId="0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 wrapText="1"/>
    </xf>
    <xf numFmtId="2" fontId="0" fillId="0" borderId="8" xfId="0" applyNumberFormat="1" applyBorder="1" applyAlignment="1">
      <alignment horizontal="center" vertical="center"/>
    </xf>
    <xf numFmtId="164" fontId="0" fillId="0" borderId="0" xfId="0" applyNumberFormat="1"/>
    <xf numFmtId="164" fontId="0" fillId="0" borderId="13" xfId="0" applyNumberFormat="1" applyBorder="1"/>
    <xf numFmtId="164" fontId="0" fillId="0" borderId="3" xfId="0" applyNumberFormat="1" applyBorder="1"/>
    <xf numFmtId="164" fontId="0" fillId="0" borderId="0" xfId="0" applyNumberFormat="1" applyBorder="1"/>
    <xf numFmtId="164" fontId="0" fillId="0" borderId="7" xfId="0" applyNumberFormat="1" applyBorder="1"/>
    <xf numFmtId="0" fontId="9" fillId="0" borderId="1" xfId="0" applyFont="1" applyBorder="1" applyAlignment="1">
      <alignment horizontal="center" vertical="center"/>
    </xf>
    <xf numFmtId="2" fontId="9" fillId="0" borderId="1" xfId="0" applyNumberFormat="1" applyFont="1" applyBorder="1"/>
    <xf numFmtId="0" fontId="9" fillId="0" borderId="0" xfId="0" applyFont="1"/>
    <xf numFmtId="0" fontId="9" fillId="0" borderId="1" xfId="0" applyFont="1" applyBorder="1" applyAlignment="1">
      <alignment vertical="center"/>
    </xf>
    <xf numFmtId="0" fontId="10" fillId="0" borderId="1" xfId="0" applyFont="1" applyBorder="1"/>
    <xf numFmtId="0" fontId="12" fillId="0" borderId="1" xfId="0" applyFont="1" applyBorder="1"/>
    <xf numFmtId="0" fontId="9" fillId="0" borderId="1" xfId="0" applyFont="1" applyBorder="1"/>
    <xf numFmtId="0" fontId="9" fillId="0" borderId="1" xfId="0" applyFont="1" applyBorder="1" applyAlignment="1">
      <alignment horizontal="center" vertical="center" wrapText="1"/>
    </xf>
    <xf numFmtId="0" fontId="9" fillId="0" borderId="1" xfId="0" applyNumberFormat="1" applyFont="1" applyBorder="1" applyAlignment="1">
      <alignment horizontal="center" vertical="center" wrapText="1"/>
    </xf>
    <xf numFmtId="2" fontId="9" fillId="0" borderId="0" xfId="0" applyNumberFormat="1" applyFont="1" applyBorder="1" applyAlignment="1">
      <alignment horizontal="center" vertical="center"/>
    </xf>
    <xf numFmtId="2" fontId="9" fillId="0" borderId="0" xfId="0" applyNumberFormat="1" applyFont="1" applyBorder="1"/>
    <xf numFmtId="165" fontId="0" fillId="0" borderId="0" xfId="0" applyNumberFormat="1"/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0" borderId="21" xfId="0" applyFont="1" applyBorder="1" applyAlignment="1">
      <alignment horizontal="left" vertical="center" wrapText="1"/>
    </xf>
    <xf numFmtId="0" fontId="9" fillId="0" borderId="21" xfId="0" applyFont="1" applyBorder="1" applyAlignment="1">
      <alignment horizontal="left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2" fontId="9" fillId="0" borderId="15" xfId="0" applyNumberFormat="1" applyFont="1" applyBorder="1" applyAlignment="1">
      <alignment horizontal="center" vertical="center"/>
    </xf>
    <xf numFmtId="2" fontId="9" fillId="0" borderId="16" xfId="0" applyNumberFormat="1" applyFont="1" applyBorder="1" applyAlignment="1">
      <alignment horizontal="center" vertical="center"/>
    </xf>
    <xf numFmtId="2" fontId="9" fillId="0" borderId="17" xfId="0" applyNumberFormat="1" applyFont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</a:t>
            </a:r>
            <a:r>
              <a:rPr lang="ru-RU" baseline="0"/>
              <a:t> зависимости </a:t>
            </a:r>
            <a:r>
              <a:rPr lang="en-US" baseline="0"/>
              <a:t>M</a:t>
            </a:r>
            <a:r>
              <a:rPr lang="ru-RU" baseline="0"/>
              <a:t> от </a:t>
            </a:r>
            <a:r>
              <a:rPr lang="el-GR" sz="1400" b="0" i="0" u="none" strike="noStrike" baseline="0">
                <a:effectLst/>
              </a:rPr>
              <a:t>ε</a:t>
            </a:r>
            <a:r>
              <a:rPr lang="ru-RU" sz="1400" b="0" i="0" u="none" strike="noStrike" baseline="0">
                <a:effectLst/>
              </a:rPr>
              <a:t> для разных положений утяжелителей</a:t>
            </a:r>
            <a:r>
              <a:rPr lang="ru-RU" baseline="0"/>
              <a:t> 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5.6243685135688323E-2"/>
          <c:y val="4.696612143510194E-2"/>
          <c:w val="0.91043213176334614"/>
          <c:h val="0.8185194615088679"/>
        </c:manualLayout>
      </c:layout>
      <c:scatterChart>
        <c:scatterStyle val="smoothMarker"/>
        <c:varyColors val="0"/>
        <c:ser>
          <c:idx val="0"/>
          <c:order val="0"/>
          <c:tx>
            <c:v>рис.1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3175">
                <a:solidFill>
                  <a:schemeClr val="accent1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cust"/>
            <c:noEndCap val="0"/>
            <c:plus>
              <c:numRef>
                <c:f>'Погрешности косвенные (M)'!$B$8</c:f>
                <c:numCache>
                  <c:formatCode>General</c:formatCode>
                  <c:ptCount val="1"/>
                  <c:pt idx="0">
                    <c:v>1.3515498519524173E-4</c:v>
                  </c:pt>
                </c:numCache>
              </c:numRef>
            </c:plus>
            <c:minus>
              <c:numRef>
                <c:f>'Погрешности косвенные (M)'!$B$8</c:f>
                <c:numCache>
                  <c:formatCode>General</c:formatCode>
                  <c:ptCount val="1"/>
                  <c:pt idx="0">
                    <c:v>1.3515498519524173E-4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0.8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('Таблица 2'!$D$3,'Таблица 2'!$D$9,'Таблица 2'!$D$15,'Таблица 2'!$D$21)</c:f>
              <c:numCache>
                <c:formatCode>0.00</c:formatCode>
                <c:ptCount val="4"/>
                <c:pt idx="0">
                  <c:v>3.0646430261238677</c:v>
                </c:pt>
                <c:pt idx="1">
                  <c:v>5.0844970778668914</c:v>
                </c:pt>
                <c:pt idx="2">
                  <c:v>7.3216757921283291</c:v>
                </c:pt>
                <c:pt idx="3">
                  <c:v>11.778065353680343</c:v>
                </c:pt>
              </c:numCache>
            </c:numRef>
          </c:xVal>
          <c:yVal>
            <c:numRef>
              <c:f>('Таблица 2'!$E$3,'Таблица 2'!$E$9,'Таблица 2'!$E$15,'Таблица 2'!$E$21)</c:f>
              <c:numCache>
                <c:formatCode>0.00</c:formatCode>
                <c:ptCount val="4"/>
                <c:pt idx="0">
                  <c:v>5.9748940625061191E-2</c:v>
                </c:pt>
                <c:pt idx="1">
                  <c:v>0.1084599166093087</c:v>
                </c:pt>
                <c:pt idx="2">
                  <c:v>0.15661947128871664</c:v>
                </c:pt>
                <c:pt idx="3">
                  <c:v>0.20317003697766617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8B3-479B-986A-7D1D329330D6}"/>
            </c:ext>
          </c:extLst>
        </c:ser>
        <c:ser>
          <c:idx val="1"/>
          <c:order val="1"/>
          <c:tx>
            <c:v>рис.2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accent2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('Таблица 2'!$D$4,'Таблица 2'!$D$10,'Таблица 2'!$D$16,'Таблица 2'!$D$22)</c:f>
              <c:numCache>
                <c:formatCode>0.00</c:formatCode>
                <c:ptCount val="4"/>
                <c:pt idx="0">
                  <c:v>2.2482101436993469</c:v>
                </c:pt>
                <c:pt idx="1">
                  <c:v>3.4616362242318255</c:v>
                </c:pt>
                <c:pt idx="2">
                  <c:v>5.4346963436743252</c:v>
                </c:pt>
                <c:pt idx="3">
                  <c:v>7.171662507481865</c:v>
                </c:pt>
              </c:numCache>
            </c:numRef>
          </c:xVal>
          <c:yVal>
            <c:numRef>
              <c:f>('Таблица 2'!$E$4,'Таблица 2'!$E$10,'Таблица 2'!$E$16,'Таблица 2'!$E$22)</c:f>
              <c:numCache>
                <c:formatCode>0.00</c:formatCode>
                <c:ptCount val="4"/>
                <c:pt idx="0">
                  <c:v>5.9864256054673486E-2</c:v>
                </c:pt>
                <c:pt idx="1">
                  <c:v>0.10887800289100473</c:v>
                </c:pt>
                <c:pt idx="2">
                  <c:v>0.15732520726337679</c:v>
                </c:pt>
                <c:pt idx="3">
                  <c:v>0.20542893862459352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8B3-479B-986A-7D1D329330D6}"/>
            </c:ext>
          </c:extLst>
        </c:ser>
        <c:ser>
          <c:idx val="2"/>
          <c:order val="2"/>
          <c:tx>
            <c:v>рис.3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accent3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('Таблица 2'!$D$5,'Таблица 2'!$D$11,'Таблица 2'!$D$17,'Таблица 2'!$D$23)</c:f>
              <c:numCache>
                <c:formatCode>0.00</c:formatCode>
                <c:ptCount val="4"/>
                <c:pt idx="0">
                  <c:v>1.6703435656768419</c:v>
                </c:pt>
                <c:pt idx="1">
                  <c:v>2.7633595715055694</c:v>
                </c:pt>
                <c:pt idx="2">
                  <c:v>3.9544836421999521</c:v>
                </c:pt>
                <c:pt idx="3">
                  <c:v>5.3175382751973768</c:v>
                </c:pt>
              </c:numCache>
            </c:numRef>
          </c:xVal>
          <c:yVal>
            <c:numRef>
              <c:f>('Таблица 2'!$E$5,'Таблица 2'!$E$11,'Таблица 2'!$E$17,'Таблица 2'!$E$23)</c:f>
              <c:numCache>
                <c:formatCode>0.00</c:formatCode>
                <c:ptCount val="4"/>
                <c:pt idx="0">
                  <c:v>5.9945875663753118E-2</c:v>
                </c:pt>
                <c:pt idx="1">
                  <c:v>0.10905789501711002</c:v>
                </c:pt>
                <c:pt idx="2">
                  <c:v>0.15787881125436634</c:v>
                </c:pt>
                <c:pt idx="3">
                  <c:v>0.20633816962799392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8B3-479B-986A-7D1D329330D6}"/>
            </c:ext>
          </c:extLst>
        </c:ser>
        <c:ser>
          <c:idx val="3"/>
          <c:order val="3"/>
          <c:tx>
            <c:v>рис.4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accent4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('Таблица 2'!$D$6,'Таблица 2'!$D$12,'Таблица 2'!$D$18,'Таблица 2'!$D$24)</c:f>
              <c:numCache>
                <c:formatCode>0.00</c:formatCode>
                <c:ptCount val="4"/>
                <c:pt idx="0">
                  <c:v>1.2375171838100376</c:v>
                </c:pt>
                <c:pt idx="1">
                  <c:v>2.415420597188588</c:v>
                </c:pt>
                <c:pt idx="2">
                  <c:v>3.380538620145161</c:v>
                </c:pt>
                <c:pt idx="3">
                  <c:v>4.6194146739666611</c:v>
                </c:pt>
              </c:numCache>
            </c:numRef>
          </c:xVal>
          <c:yVal>
            <c:numRef>
              <c:f>('Таблица 2'!$E$6,'Таблица 2'!$E$12,'Таблица 2'!$E$18,'Таблица 2'!$E$24)</c:f>
              <c:numCache>
                <c:formatCode>0.00</c:formatCode>
                <c:ptCount val="4"/>
                <c:pt idx="0">
                  <c:v>6.0007009360407135E-2</c:v>
                </c:pt>
                <c:pt idx="1">
                  <c:v>0.10914753209949049</c:v>
                </c:pt>
                <c:pt idx="2">
                  <c:v>0.15809346841444988</c:v>
                </c:pt>
                <c:pt idx="3">
                  <c:v>0.20668051757393621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8B3-479B-986A-7D1D329330D6}"/>
            </c:ext>
          </c:extLst>
        </c:ser>
        <c:ser>
          <c:idx val="4"/>
          <c:order val="4"/>
          <c:tx>
            <c:v>рис.5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accent5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('Таблица 2'!$D$7,'Таблица 2'!$D$13,'Таблица 2'!$D$19,'Таблица 2'!$D$25)</c:f>
              <c:numCache>
                <c:formatCode>0.00</c:formatCode>
                <c:ptCount val="4"/>
                <c:pt idx="0">
                  <c:v>0.89867059017687589</c:v>
                </c:pt>
                <c:pt idx="1">
                  <c:v>1.6430136166187859</c:v>
                </c:pt>
                <c:pt idx="2">
                  <c:v>2.487567689480795</c:v>
                </c:pt>
                <c:pt idx="3">
                  <c:v>3.2869282541561442</c:v>
                </c:pt>
              </c:numCache>
            </c:numRef>
          </c:xVal>
          <c:yVal>
            <c:numRef>
              <c:f>('Таблица 2'!$E$7,'Таблица 2'!$E$13,'Таблица 2'!$E$19,'Таблица 2'!$E$25)</c:f>
              <c:numCache>
                <c:formatCode>0.00</c:formatCode>
                <c:ptCount val="4"/>
                <c:pt idx="0">
                  <c:v>6.0054869069831658E-2</c:v>
                </c:pt>
                <c:pt idx="1">
                  <c:v>0.10934652190304582</c:v>
                </c:pt>
                <c:pt idx="2">
                  <c:v>0.15842744222143115</c:v>
                </c:pt>
                <c:pt idx="3">
                  <c:v>0.20733394626194215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E8B3-479B-986A-7D1D329330D6}"/>
            </c:ext>
          </c:extLst>
        </c:ser>
        <c:ser>
          <c:idx val="5"/>
          <c:order val="5"/>
          <c:tx>
            <c:v>рис.6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accent6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('Таблица 2'!$D$8,'Таблица 2'!$D$14,'Таблица 2'!$D$20,'Таблица 2'!$D$26)</c:f>
              <c:numCache>
                <c:formatCode>0.00</c:formatCode>
                <c:ptCount val="4"/>
                <c:pt idx="0">
                  <c:v>0.70126002791404463</c:v>
                </c:pt>
                <c:pt idx="1">
                  <c:v>1.4044572009781042</c:v>
                </c:pt>
                <c:pt idx="2">
                  <c:v>2.0443033968842896</c:v>
                </c:pt>
                <c:pt idx="3">
                  <c:v>2.5455549791691783</c:v>
                </c:pt>
              </c:numCache>
            </c:numRef>
          </c:xVal>
          <c:yVal>
            <c:numRef>
              <c:f>('Таблица 2'!$E$8,'Таблица 2'!$E$14,'Таблица 2'!$E$20,'Таблица 2'!$E$26)</c:f>
              <c:numCache>
                <c:formatCode>0.00</c:formatCode>
                <c:ptCount val="4"/>
                <c:pt idx="0">
                  <c:v>6.0082751929877345E-2</c:v>
                </c:pt>
                <c:pt idx="1">
                  <c:v>0.10940797952251241</c:v>
                </c:pt>
                <c:pt idx="2">
                  <c:v>0.1585932243966551</c:v>
                </c:pt>
                <c:pt idx="3">
                  <c:v>0.20769750311265009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E8B3-479B-986A-7D1D329330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4945728"/>
        <c:axId val="294941024"/>
      </c:scatterChart>
      <c:valAx>
        <c:axId val="294945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ε</a:t>
                </a:r>
                <a:r>
                  <a:rPr lang="en-US"/>
                  <a:t>, </a:t>
                </a:r>
                <a:r>
                  <a:rPr lang="ru-RU"/>
                  <a:t>с</a:t>
                </a:r>
                <a:r>
                  <a:rPr lang="ru-RU" baseline="30000"/>
                  <a:t>-2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94941024"/>
        <c:crosses val="autoZero"/>
        <c:crossBetween val="midCat"/>
      </c:valAx>
      <c:valAx>
        <c:axId val="29494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1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M,</a:t>
                </a:r>
                <a:r>
                  <a:rPr lang="en-US" baseline="0"/>
                  <a:t> </a:t>
                </a:r>
                <a:r>
                  <a:rPr lang="ru-RU" baseline="0"/>
                  <a:t>Н∙м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94945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 зависимости момента инерции</a:t>
            </a:r>
            <a:r>
              <a:rPr lang="ru-RU" baseline="0"/>
              <a:t> от положения утяжелителей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6.3761146306223121E-2"/>
          <c:y val="3.8658161418747741E-2"/>
          <c:w val="0.90062197029931523"/>
          <c:h val="0.81565936688695673"/>
        </c:manualLayout>
      </c:layout>
      <c:scatterChart>
        <c:scatterStyle val="smoothMarker"/>
        <c:varyColors val="0"/>
        <c:ser>
          <c:idx val="0"/>
          <c:order val="0"/>
          <c:tx>
            <c:v>1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'Таблица 3'!$B$3:$G$3</c:f>
              <c:numCache>
                <c:formatCode>General</c:formatCode>
                <c:ptCount val="6"/>
                <c:pt idx="0">
                  <c:v>5.9290000000000002E-3</c:v>
                </c:pt>
                <c:pt idx="1">
                  <c:v>1.0404000000000002E-2</c:v>
                </c:pt>
                <c:pt idx="2">
                  <c:v>1.6129000000000001E-2</c:v>
                </c:pt>
                <c:pt idx="3">
                  <c:v>2.3104E-2</c:v>
                </c:pt>
                <c:pt idx="4">
                  <c:v>3.1328999999999996E-2</c:v>
                </c:pt>
                <c:pt idx="5">
                  <c:v>4.0803999999999993E-2</c:v>
                </c:pt>
              </c:numCache>
            </c:numRef>
          </c:xVal>
          <c:yVal>
            <c:numRef>
              <c:f>'Таблица 3'!$B$4:$G$4</c:f>
              <c:numCache>
                <c:formatCode>0.00</c:formatCode>
                <c:ptCount val="6"/>
                <c:pt idx="0">
                  <c:v>1.6148340819871338E-2</c:v>
                </c:pt>
                <c:pt idx="1">
                  <c:v>2.8723750368514992E-2</c:v>
                </c:pt>
                <c:pt idx="2">
                  <c:v>4.0114804289598557E-2</c:v>
                </c:pt>
                <c:pt idx="3">
                  <c:v>4.391533448080031E-2</c:v>
                </c:pt>
                <c:pt idx="4">
                  <c:v>6.1256932771825548E-2</c:v>
                </c:pt>
                <c:pt idx="5">
                  <c:v>7.9279863327281985E-2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1BA-4DC3-9215-65B0299120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4946512"/>
        <c:axId val="294944944"/>
      </c:scatterChart>
      <c:valAx>
        <c:axId val="294946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</a:t>
                </a:r>
                <a:r>
                  <a:rPr lang="en-US" baseline="30000"/>
                  <a:t>2</a:t>
                </a:r>
                <a:r>
                  <a:rPr lang="ru-RU" baseline="0"/>
                  <a:t>, м</a:t>
                </a:r>
                <a:r>
                  <a:rPr lang="ru-RU" baseline="30000"/>
                  <a:t>2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94944944"/>
        <c:crosses val="autoZero"/>
        <c:crossBetween val="midCat"/>
      </c:valAx>
      <c:valAx>
        <c:axId val="294944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I, </a:t>
                </a:r>
                <a:r>
                  <a:rPr lang="ru-RU"/>
                  <a:t>кг∙м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94946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</a:t>
            </a:r>
            <a:r>
              <a:rPr lang="ru-RU" baseline="0"/>
              <a:t> зависимости </a:t>
            </a:r>
            <a:r>
              <a:rPr lang="en-US" baseline="0"/>
              <a:t>M</a:t>
            </a:r>
            <a:r>
              <a:rPr lang="ru-RU" baseline="0"/>
              <a:t> от </a:t>
            </a:r>
            <a:r>
              <a:rPr lang="el-GR" sz="1400" b="0" i="0" u="none" strike="noStrike" baseline="0">
                <a:effectLst/>
              </a:rPr>
              <a:t>ε</a:t>
            </a:r>
            <a:r>
              <a:rPr lang="ru-RU" sz="1400" b="0" i="0" u="none" strike="noStrike" baseline="0">
                <a:effectLst/>
              </a:rPr>
              <a:t> для разных положений утяжелителей</a:t>
            </a:r>
            <a:r>
              <a:rPr lang="ru-RU" baseline="0"/>
              <a:t> 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5.6243685135688323E-2"/>
          <c:y val="4.696612143510194E-2"/>
          <c:w val="0.91043213176334614"/>
          <c:h val="0.8185194615088679"/>
        </c:manualLayout>
      </c:layout>
      <c:scatterChart>
        <c:scatterStyle val="smoothMarker"/>
        <c:varyColors val="0"/>
        <c:ser>
          <c:idx val="0"/>
          <c:order val="0"/>
          <c:tx>
            <c:v>рис.1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3175">
                <a:solidFill>
                  <a:schemeClr val="accent1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cust"/>
            <c:noEndCap val="0"/>
            <c:plus>
              <c:numRef>
                <c:f>'Погрешности косвенные (M)'!$B$8</c:f>
                <c:numCache>
                  <c:formatCode>General</c:formatCode>
                  <c:ptCount val="1"/>
                  <c:pt idx="0">
                    <c:v>1.3515498519524173E-4</c:v>
                  </c:pt>
                </c:numCache>
              </c:numRef>
            </c:plus>
            <c:minus>
              <c:numRef>
                <c:f>'Погрешности косвенные (M)'!$B$8</c:f>
                <c:numCache>
                  <c:formatCode>General</c:formatCode>
                  <c:ptCount val="1"/>
                  <c:pt idx="0">
                    <c:v>1.3515498519524173E-4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0.8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('Таблица 2'!$D$3,'Таблица 2'!$D$9,'Таблица 2'!$D$15,'Таблица 2'!$D$21)</c:f>
              <c:numCache>
                <c:formatCode>0.00</c:formatCode>
                <c:ptCount val="4"/>
                <c:pt idx="0">
                  <c:v>3.0646430261238677</c:v>
                </c:pt>
                <c:pt idx="1">
                  <c:v>5.0844970778668914</c:v>
                </c:pt>
                <c:pt idx="2">
                  <c:v>7.3216757921283291</c:v>
                </c:pt>
                <c:pt idx="3">
                  <c:v>11.778065353680343</c:v>
                </c:pt>
              </c:numCache>
            </c:numRef>
          </c:xVal>
          <c:yVal>
            <c:numRef>
              <c:f>('Таблица 2'!$E$3,'Таблица 2'!$E$9,'Таблица 2'!$E$15,'Таблица 2'!$E$21)</c:f>
              <c:numCache>
                <c:formatCode>0.00</c:formatCode>
                <c:ptCount val="4"/>
                <c:pt idx="0">
                  <c:v>5.9748940625061191E-2</c:v>
                </c:pt>
                <c:pt idx="1">
                  <c:v>0.1084599166093087</c:v>
                </c:pt>
                <c:pt idx="2">
                  <c:v>0.15661947128871664</c:v>
                </c:pt>
                <c:pt idx="3">
                  <c:v>0.20317003697766617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81F-4D29-B82F-3B56FCD48465}"/>
            </c:ext>
          </c:extLst>
        </c:ser>
        <c:ser>
          <c:idx val="1"/>
          <c:order val="1"/>
          <c:tx>
            <c:v>рис.2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accent2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('Таблица 2'!$D$4,'Таблица 2'!$D$10,'Таблица 2'!$D$16,'Таблица 2'!$D$22)</c:f>
              <c:numCache>
                <c:formatCode>0.00</c:formatCode>
                <c:ptCount val="4"/>
                <c:pt idx="0">
                  <c:v>2.2482101436993469</c:v>
                </c:pt>
                <c:pt idx="1">
                  <c:v>3.4616362242318255</c:v>
                </c:pt>
                <c:pt idx="2">
                  <c:v>5.4346963436743252</c:v>
                </c:pt>
                <c:pt idx="3">
                  <c:v>7.171662507481865</c:v>
                </c:pt>
              </c:numCache>
            </c:numRef>
          </c:xVal>
          <c:yVal>
            <c:numRef>
              <c:f>('Таблица 2'!$E$4,'Таблица 2'!$E$10,'Таблица 2'!$E$16,'Таблица 2'!$E$22)</c:f>
              <c:numCache>
                <c:formatCode>0.00</c:formatCode>
                <c:ptCount val="4"/>
                <c:pt idx="0">
                  <c:v>5.9864256054673486E-2</c:v>
                </c:pt>
                <c:pt idx="1">
                  <c:v>0.10887800289100473</c:v>
                </c:pt>
                <c:pt idx="2">
                  <c:v>0.15732520726337679</c:v>
                </c:pt>
                <c:pt idx="3">
                  <c:v>0.20542893862459352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81F-4D29-B82F-3B56FCD48465}"/>
            </c:ext>
          </c:extLst>
        </c:ser>
        <c:ser>
          <c:idx val="2"/>
          <c:order val="2"/>
          <c:tx>
            <c:v>рис.3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accent3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('Таблица 2'!$D$5,'Таблица 2'!$D$11,'Таблица 2'!$D$17,'Таблица 2'!$D$23)</c:f>
              <c:numCache>
                <c:formatCode>0.00</c:formatCode>
                <c:ptCount val="4"/>
                <c:pt idx="0">
                  <c:v>1.6703435656768419</c:v>
                </c:pt>
                <c:pt idx="1">
                  <c:v>2.7633595715055694</c:v>
                </c:pt>
                <c:pt idx="2">
                  <c:v>3.9544836421999521</c:v>
                </c:pt>
                <c:pt idx="3">
                  <c:v>5.3175382751973768</c:v>
                </c:pt>
              </c:numCache>
            </c:numRef>
          </c:xVal>
          <c:yVal>
            <c:numRef>
              <c:f>('Таблица 2'!$E$5,'Таблица 2'!$E$11,'Таблица 2'!$E$17,'Таблица 2'!$E$23)</c:f>
              <c:numCache>
                <c:formatCode>0.00</c:formatCode>
                <c:ptCount val="4"/>
                <c:pt idx="0">
                  <c:v>5.9945875663753118E-2</c:v>
                </c:pt>
                <c:pt idx="1">
                  <c:v>0.10905789501711002</c:v>
                </c:pt>
                <c:pt idx="2">
                  <c:v>0.15787881125436634</c:v>
                </c:pt>
                <c:pt idx="3">
                  <c:v>0.20633816962799392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81F-4D29-B82F-3B56FCD48465}"/>
            </c:ext>
          </c:extLst>
        </c:ser>
        <c:ser>
          <c:idx val="3"/>
          <c:order val="3"/>
          <c:tx>
            <c:v>рис.4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accent4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('Таблица 2'!$D$6,'Таблица 2'!$D$12,'Таблица 2'!$D$18,'Таблица 2'!$D$24)</c:f>
              <c:numCache>
                <c:formatCode>0.00</c:formatCode>
                <c:ptCount val="4"/>
                <c:pt idx="0">
                  <c:v>1.2375171838100376</c:v>
                </c:pt>
                <c:pt idx="1">
                  <c:v>2.415420597188588</c:v>
                </c:pt>
                <c:pt idx="2">
                  <c:v>3.380538620145161</c:v>
                </c:pt>
                <c:pt idx="3">
                  <c:v>4.6194146739666611</c:v>
                </c:pt>
              </c:numCache>
            </c:numRef>
          </c:xVal>
          <c:yVal>
            <c:numRef>
              <c:f>('Таблица 2'!$E$6,'Таблица 2'!$E$12,'Таблица 2'!$E$18,'Таблица 2'!$E$24)</c:f>
              <c:numCache>
                <c:formatCode>0.00</c:formatCode>
                <c:ptCount val="4"/>
                <c:pt idx="0">
                  <c:v>6.0007009360407135E-2</c:v>
                </c:pt>
                <c:pt idx="1">
                  <c:v>0.10914753209949049</c:v>
                </c:pt>
                <c:pt idx="2">
                  <c:v>0.15809346841444988</c:v>
                </c:pt>
                <c:pt idx="3">
                  <c:v>0.20668051757393621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81F-4D29-B82F-3B56FCD48465}"/>
            </c:ext>
          </c:extLst>
        </c:ser>
        <c:ser>
          <c:idx val="4"/>
          <c:order val="4"/>
          <c:tx>
            <c:v>рис.5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accent5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('Таблица 2'!$D$7,'Таблица 2'!$D$13,'Таблица 2'!$D$19,'Таблица 2'!$D$25)</c:f>
              <c:numCache>
                <c:formatCode>0.00</c:formatCode>
                <c:ptCount val="4"/>
                <c:pt idx="0">
                  <c:v>0.89867059017687589</c:v>
                </c:pt>
                <c:pt idx="1">
                  <c:v>1.6430136166187859</c:v>
                </c:pt>
                <c:pt idx="2">
                  <c:v>2.487567689480795</c:v>
                </c:pt>
                <c:pt idx="3">
                  <c:v>3.2869282541561442</c:v>
                </c:pt>
              </c:numCache>
            </c:numRef>
          </c:xVal>
          <c:yVal>
            <c:numRef>
              <c:f>('Таблица 2'!$E$7,'Таблица 2'!$E$13,'Таблица 2'!$E$19,'Таблица 2'!$E$25)</c:f>
              <c:numCache>
                <c:formatCode>0.00</c:formatCode>
                <c:ptCount val="4"/>
                <c:pt idx="0">
                  <c:v>6.0054869069831658E-2</c:v>
                </c:pt>
                <c:pt idx="1">
                  <c:v>0.10934652190304582</c:v>
                </c:pt>
                <c:pt idx="2">
                  <c:v>0.15842744222143115</c:v>
                </c:pt>
                <c:pt idx="3">
                  <c:v>0.20733394626194215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81F-4D29-B82F-3B56FCD48465}"/>
            </c:ext>
          </c:extLst>
        </c:ser>
        <c:ser>
          <c:idx val="5"/>
          <c:order val="5"/>
          <c:tx>
            <c:v>рис.6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accent6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('Таблица 2'!$D$8,'Таблица 2'!$D$14,'Таблица 2'!$D$20,'Таблица 2'!$D$26)</c:f>
              <c:numCache>
                <c:formatCode>0.00</c:formatCode>
                <c:ptCount val="4"/>
                <c:pt idx="0">
                  <c:v>0.70126002791404463</c:v>
                </c:pt>
                <c:pt idx="1">
                  <c:v>1.4044572009781042</c:v>
                </c:pt>
                <c:pt idx="2">
                  <c:v>2.0443033968842896</c:v>
                </c:pt>
                <c:pt idx="3">
                  <c:v>2.5455549791691783</c:v>
                </c:pt>
              </c:numCache>
            </c:numRef>
          </c:xVal>
          <c:yVal>
            <c:numRef>
              <c:f>('Таблица 2'!$E$8,'Таблица 2'!$E$14,'Таблица 2'!$E$20,'Таблица 2'!$E$26)</c:f>
              <c:numCache>
                <c:formatCode>0.00</c:formatCode>
                <c:ptCount val="4"/>
                <c:pt idx="0">
                  <c:v>6.0082751929877345E-2</c:v>
                </c:pt>
                <c:pt idx="1">
                  <c:v>0.10940797952251241</c:v>
                </c:pt>
                <c:pt idx="2">
                  <c:v>0.1585932243966551</c:v>
                </c:pt>
                <c:pt idx="3">
                  <c:v>0.20769750311265009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81F-4D29-B82F-3B56FCD484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4945728"/>
        <c:axId val="294941024"/>
      </c:scatterChart>
      <c:valAx>
        <c:axId val="294945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ε</a:t>
                </a:r>
                <a:r>
                  <a:rPr lang="en-US"/>
                  <a:t>, </a:t>
                </a:r>
                <a:r>
                  <a:rPr lang="ru-RU"/>
                  <a:t>с</a:t>
                </a:r>
                <a:r>
                  <a:rPr lang="ru-RU" baseline="30000"/>
                  <a:t>-2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94941024"/>
        <c:crosses val="autoZero"/>
        <c:crossBetween val="midCat"/>
      </c:valAx>
      <c:valAx>
        <c:axId val="29494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1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M,</a:t>
                </a:r>
                <a:r>
                  <a:rPr lang="en-US" baseline="0"/>
                  <a:t> </a:t>
                </a:r>
                <a:r>
                  <a:rPr lang="ru-RU" baseline="0"/>
                  <a:t>Н∙м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94945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 зависимости момента инерции</a:t>
            </a:r>
            <a:r>
              <a:rPr lang="ru-RU" baseline="0"/>
              <a:t> от положения утяжелителей</a:t>
            </a:r>
            <a:endParaRPr lang="ru-RU"/>
          </a:p>
        </c:rich>
      </c:tx>
      <c:layout>
        <c:manualLayout>
          <c:xMode val="edge"/>
          <c:yMode val="edge"/>
          <c:x val="0.23083262800618978"/>
          <c:y val="0.9364820846905537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6.3761146306223121E-2"/>
          <c:y val="3.8658161418747741E-2"/>
          <c:w val="0.90062197029931523"/>
          <c:h val="0.81565936688695673"/>
        </c:manualLayout>
      </c:layout>
      <c:scatterChart>
        <c:scatterStyle val="smoothMarker"/>
        <c:varyColors val="0"/>
        <c:ser>
          <c:idx val="0"/>
          <c:order val="0"/>
          <c:tx>
            <c:v>1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'Таблица 3'!$B$3:$G$3</c:f>
              <c:numCache>
                <c:formatCode>General</c:formatCode>
                <c:ptCount val="6"/>
                <c:pt idx="0">
                  <c:v>5.9290000000000002E-3</c:v>
                </c:pt>
                <c:pt idx="1">
                  <c:v>1.0404000000000002E-2</c:v>
                </c:pt>
                <c:pt idx="2">
                  <c:v>1.6129000000000001E-2</c:v>
                </c:pt>
                <c:pt idx="3">
                  <c:v>2.3104E-2</c:v>
                </c:pt>
                <c:pt idx="4">
                  <c:v>3.1328999999999996E-2</c:v>
                </c:pt>
                <c:pt idx="5">
                  <c:v>4.0803999999999993E-2</c:v>
                </c:pt>
              </c:numCache>
            </c:numRef>
          </c:xVal>
          <c:yVal>
            <c:numRef>
              <c:f>'Таблица 3'!$B$4:$G$4</c:f>
              <c:numCache>
                <c:formatCode>0.00</c:formatCode>
                <c:ptCount val="6"/>
                <c:pt idx="0">
                  <c:v>1.6148340819871338E-2</c:v>
                </c:pt>
                <c:pt idx="1">
                  <c:v>2.8723750368514992E-2</c:v>
                </c:pt>
                <c:pt idx="2">
                  <c:v>4.0114804289598557E-2</c:v>
                </c:pt>
                <c:pt idx="3">
                  <c:v>4.391533448080031E-2</c:v>
                </c:pt>
                <c:pt idx="4">
                  <c:v>6.1256932771825548E-2</c:v>
                </c:pt>
                <c:pt idx="5">
                  <c:v>7.9279863327281985E-2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CCF-4724-9462-27DB9D76EC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4946120"/>
        <c:axId val="294946904"/>
      </c:scatterChart>
      <c:valAx>
        <c:axId val="294946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</a:t>
                </a:r>
                <a:r>
                  <a:rPr lang="en-US" baseline="30000"/>
                  <a:t>2</a:t>
                </a:r>
                <a:r>
                  <a:rPr lang="ru-RU" baseline="0"/>
                  <a:t>, м</a:t>
                </a:r>
                <a:r>
                  <a:rPr lang="ru-RU" baseline="30000"/>
                  <a:t>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94946904"/>
        <c:crosses val="autoZero"/>
        <c:crossBetween val="midCat"/>
      </c:valAx>
      <c:valAx>
        <c:axId val="294946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I, </a:t>
                </a:r>
                <a:r>
                  <a:rPr lang="ru-RU"/>
                  <a:t>кг*м</a:t>
                </a:r>
                <a:r>
                  <a:rPr lang="ru-RU" baseline="30000"/>
                  <a:t>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94946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60960</xdr:colOff>
      <xdr:row>0</xdr:row>
      <xdr:rowOff>15240</xdr:rowOff>
    </xdr:from>
    <xdr:to>
      <xdr:col>17</xdr:col>
      <xdr:colOff>80010</xdr:colOff>
      <xdr:row>31</xdr:row>
      <xdr:rowOff>160020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21C2F6E-36CC-42C9-B36D-A1F9079A05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213360</xdr:colOff>
      <xdr:row>30</xdr:row>
      <xdr:rowOff>128016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DE99654-640A-488E-9ABB-47D651E67B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414421</xdr:colOff>
      <xdr:row>0</xdr:row>
      <xdr:rowOff>0</xdr:rowOff>
    </xdr:from>
    <xdr:to>
      <xdr:col>20</xdr:col>
      <xdr:colOff>21835</xdr:colOff>
      <xdr:row>29</xdr:row>
      <xdr:rowOff>147053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D21C2F6E-36CC-42C9-B36D-A1F9079A05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213360</xdr:colOff>
      <xdr:row>30</xdr:row>
      <xdr:rowOff>128016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ECF76E5-E835-47EC-9407-7BA575B4BB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1:G9"/>
  <sheetViews>
    <sheetView workbookViewId="0">
      <selection activeCell="A18" sqref="A18"/>
    </sheetView>
  </sheetViews>
  <sheetFormatPr defaultRowHeight="14.4" x14ac:dyDescent="0.3"/>
  <cols>
    <col min="1" max="1" width="26.33203125" customWidth="1"/>
  </cols>
  <sheetData>
    <row r="1" spans="1:7" x14ac:dyDescent="0.3">
      <c r="A1" s="32" t="s">
        <v>42</v>
      </c>
    </row>
    <row r="2" spans="1:7" ht="43.2" x14ac:dyDescent="0.3">
      <c r="A2" s="32" t="s">
        <v>38</v>
      </c>
      <c r="B2" s="28">
        <v>1</v>
      </c>
      <c r="C2" s="28">
        <v>1</v>
      </c>
      <c r="D2" s="28">
        <v>1</v>
      </c>
      <c r="E2" s="28">
        <v>1</v>
      </c>
      <c r="F2" s="28"/>
      <c r="G2" s="28"/>
    </row>
    <row r="3" spans="1:7" ht="28.8" x14ac:dyDescent="0.3">
      <c r="A3" s="32" t="s">
        <v>41</v>
      </c>
      <c r="B3" s="28">
        <v>1</v>
      </c>
      <c r="C3" s="28">
        <v>1</v>
      </c>
      <c r="D3" s="28">
        <v>1</v>
      </c>
      <c r="E3" s="28">
        <v>1</v>
      </c>
      <c r="F3" s="28"/>
      <c r="G3" s="28"/>
    </row>
    <row r="4" spans="1:7" x14ac:dyDescent="0.3">
      <c r="A4" s="32" t="s">
        <v>40</v>
      </c>
    </row>
    <row r="5" spans="1:7" ht="28.8" x14ac:dyDescent="0.3">
      <c r="A5" s="32" t="s">
        <v>43</v>
      </c>
    </row>
    <row r="6" spans="1:7" ht="28.8" x14ac:dyDescent="0.3">
      <c r="A6" s="32" t="s">
        <v>46</v>
      </c>
      <c r="B6" s="31"/>
    </row>
    <row r="7" spans="1:7" x14ac:dyDescent="0.3">
      <c r="A7" s="32" t="s">
        <v>44</v>
      </c>
      <c r="B7">
        <f>B5*B5*B2*B2</f>
        <v>0</v>
      </c>
    </row>
    <row r="8" spans="1:7" ht="28.8" x14ac:dyDescent="0.3">
      <c r="A8" s="32" t="s">
        <v>39</v>
      </c>
      <c r="B8">
        <f>SQRT(SUM(7:7))</f>
        <v>0</v>
      </c>
    </row>
    <row r="9" spans="1:7" ht="28.8" x14ac:dyDescent="0.3">
      <c r="A9" s="32" t="s">
        <v>47</v>
      </c>
      <c r="B9">
        <f>B8/B3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1:R9"/>
  <sheetViews>
    <sheetView workbookViewId="0">
      <selection activeCell="A3" sqref="A3"/>
    </sheetView>
  </sheetViews>
  <sheetFormatPr defaultRowHeight="14.4" x14ac:dyDescent="0.3"/>
  <cols>
    <col min="1" max="1" width="9" bestFit="1" customWidth="1"/>
    <col min="2" max="2" width="9.44140625" bestFit="1" customWidth="1"/>
    <col min="3" max="3" width="9" bestFit="1" customWidth="1"/>
    <col min="4" max="4" width="9.6640625" customWidth="1"/>
    <col min="5" max="5" width="9" bestFit="1" customWidth="1"/>
    <col min="6" max="6" width="10.109375" bestFit="1" customWidth="1"/>
    <col min="7" max="7" width="14" customWidth="1"/>
    <col min="8" max="10" width="9" bestFit="1" customWidth="1"/>
    <col min="12" max="12" width="9" bestFit="1" customWidth="1"/>
    <col min="13" max="14" width="9.44140625" bestFit="1" customWidth="1"/>
    <col min="15" max="18" width="9" bestFit="1" customWidth="1"/>
  </cols>
  <sheetData>
    <row r="1" spans="1:18" ht="46.8" thickTop="1" thickBot="1" x14ac:dyDescent="0.35">
      <c r="A1" s="4" t="s">
        <v>23</v>
      </c>
      <c r="B1" s="5" t="s">
        <v>24</v>
      </c>
      <c r="C1" s="6" t="s">
        <v>28</v>
      </c>
      <c r="D1" s="26" t="s">
        <v>29</v>
      </c>
      <c r="E1" s="25" t="s">
        <v>30</v>
      </c>
      <c r="F1" s="26" t="s">
        <v>31</v>
      </c>
      <c r="G1" s="7" t="s">
        <v>32</v>
      </c>
      <c r="H1" s="11" t="s">
        <v>13</v>
      </c>
      <c r="I1" s="10" t="s">
        <v>36</v>
      </c>
      <c r="J1" s="9" t="s">
        <v>37</v>
      </c>
      <c r="L1" s="7" t="s">
        <v>16</v>
      </c>
      <c r="M1" s="7" t="s">
        <v>25</v>
      </c>
      <c r="N1" s="8" t="s">
        <v>26</v>
      </c>
      <c r="O1" s="8" t="s">
        <v>27</v>
      </c>
      <c r="P1" s="8" t="s">
        <v>33</v>
      </c>
      <c r="Q1" s="8" t="s">
        <v>34</v>
      </c>
      <c r="R1" s="8" t="s">
        <v>35</v>
      </c>
    </row>
    <row r="2" spans="1:18" ht="15.6" thickTop="1" thickBot="1" x14ac:dyDescent="0.35">
      <c r="A2" s="13">
        <v>8.1666666666666637E-2</v>
      </c>
      <c r="B2" s="14">
        <v>48.691666666666663</v>
      </c>
      <c r="C2" s="15">
        <f>(A2-$L$2)*(A2-$L$2)</f>
        <v>0.67521436734693863</v>
      </c>
      <c r="D2" s="14">
        <f>(B2-$M$2)*(B2-$M$2)</f>
        <v>63998.398534240383</v>
      </c>
      <c r="E2" s="16">
        <f>A2-$L$2</f>
        <v>-0.82171428571428562</v>
      </c>
      <c r="F2" s="14">
        <f>B2-$M$2</f>
        <v>-252.97904761904766</v>
      </c>
      <c r="G2" s="17">
        <f>E2*F2</f>
        <v>207.876497414966</v>
      </c>
      <c r="H2" s="18">
        <f>B2-($O$2+$N$2*A2)</f>
        <v>0.42403696602093532</v>
      </c>
      <c r="I2" s="19">
        <f>H2*H2</f>
        <v>0.17980734855223987</v>
      </c>
      <c r="J2" s="24">
        <f>SQRT(4*$R$2+4*$Q$2*A2*A2)</f>
        <v>4.9576164097232098</v>
      </c>
      <c r="K2" s="18"/>
      <c r="L2" s="18">
        <f>SUM(A:A)/COUNT(A:A)</f>
        <v>0.90338095238095228</v>
      </c>
      <c r="M2" s="18">
        <f>SUM(B:B)/COUNT(B:B)</f>
        <v>301.67071428571433</v>
      </c>
      <c r="N2" s="18">
        <f>SUM(G:G)/SUM(C:C)</f>
        <v>308.38344786082757</v>
      </c>
      <c r="O2" s="18">
        <f>M2-N2*L2</f>
        <v>23.082981458678148</v>
      </c>
      <c r="P2" s="18">
        <f>SUM(C:C)</f>
        <v>1.902756984126984</v>
      </c>
      <c r="Q2" s="18">
        <f>1/P2*SUM(I:I)/(COUNT(I:I)-2)</f>
        <v>5.6135134076679245</v>
      </c>
      <c r="R2" s="18">
        <f>(1/COUNT(I:I)+L2*L2/P2)*SUM(I:I)/(COUNT(I:I)-2)</f>
        <v>6.1070511006786266</v>
      </c>
    </row>
    <row r="3" spans="1:18" ht="16.8" thickTop="1" thickBot="1" x14ac:dyDescent="0.35">
      <c r="A3" s="13">
        <v>0.38399999999999995</v>
      </c>
      <c r="B3" s="14">
        <v>141.54</v>
      </c>
      <c r="C3" s="15">
        <f>(A3-$L$2)*(A3-$L$2)</f>
        <v>0.26975657369614503</v>
      </c>
      <c r="D3" s="14">
        <f>(B3-$M$2)*(B3-$M$2)</f>
        <v>25641.845657653077</v>
      </c>
      <c r="E3" s="20">
        <f>A3-$L$2</f>
        <v>-0.51938095238095228</v>
      </c>
      <c r="F3" s="14">
        <f>B3-$M$2</f>
        <v>-160.13071428571433</v>
      </c>
      <c r="G3" s="17">
        <f>E3*F3</f>
        <v>83.168842891156473</v>
      </c>
      <c r="H3" s="18">
        <f>B3-($O$2+$N$2*A3)</f>
        <v>3.7774562764070652E-2</v>
      </c>
      <c r="I3" s="14">
        <f>H3*H3</f>
        <v>1.426917592016713E-3</v>
      </c>
      <c r="J3" s="17">
        <f t="shared" ref="J3:J8" si="0">SQRT(4*$R$2+4*$Q$2*A3*A3)</f>
        <v>5.2668006735473512</v>
      </c>
      <c r="K3" s="27"/>
      <c r="L3" s="18"/>
      <c r="M3" s="18"/>
      <c r="N3" s="34"/>
      <c r="O3" s="34"/>
      <c r="P3" s="18"/>
      <c r="Q3" s="34" t="s">
        <v>58</v>
      </c>
      <c r="R3" s="34" t="s">
        <v>59</v>
      </c>
    </row>
    <row r="4" spans="1:18" ht="15.6" thickTop="1" thickBot="1" x14ac:dyDescent="0.35">
      <c r="A4" s="13">
        <v>0.66499999999999992</v>
      </c>
      <c r="B4" s="14">
        <v>228.87500000000003</v>
      </c>
      <c r="C4" s="15">
        <f t="shared" ref="C4:C8" si="1">(A4-$L$2)*(A4-$L$2)</f>
        <v>5.6825478458049875E-2</v>
      </c>
      <c r="D4" s="14">
        <f t="shared" ref="D4:D8" si="2">(B4-$M$2)*(B4-$M$2)</f>
        <v>5299.2160183673486</v>
      </c>
      <c r="E4" s="20">
        <f t="shared" ref="E4:E8" si="3">A4-$L$2</f>
        <v>-0.23838095238095236</v>
      </c>
      <c r="F4" s="14">
        <f t="shared" ref="F4:F8" si="4">B4-$M$2</f>
        <v>-72.795714285714297</v>
      </c>
      <c r="G4" s="17">
        <f t="shared" ref="G4:G8" si="5">E4*F4</f>
        <v>17.353111700680273</v>
      </c>
      <c r="H4" s="18">
        <f t="shared" ref="H4:H8" si="6">B4-($O$2+$N$2*A4)</f>
        <v>0.71702571387157832</v>
      </c>
      <c r="I4" s="14">
        <f t="shared" ref="I4:I8" si="7">H4*H4</f>
        <v>0.51412587435304646</v>
      </c>
      <c r="J4" s="17">
        <f t="shared" si="0"/>
        <v>5.8615653429385484</v>
      </c>
      <c r="K4" s="18"/>
      <c r="L4" s="18"/>
      <c r="M4" s="18"/>
      <c r="N4" s="18"/>
      <c r="O4" s="18"/>
      <c r="P4" s="18"/>
      <c r="Q4" s="18">
        <f>SQRT(Q2)</f>
        <v>2.3692854213175591</v>
      </c>
      <c r="R4" s="18">
        <f>SQRT(R2)</f>
        <v>2.4712448483868665</v>
      </c>
    </row>
    <row r="5" spans="1:18" ht="16.8" thickTop="1" thickBot="1" x14ac:dyDescent="0.35">
      <c r="A5" s="13">
        <v>0.94166666666666643</v>
      </c>
      <c r="B5" s="14">
        <v>310.74166666666667</v>
      </c>
      <c r="C5" s="15">
        <f t="shared" si="1"/>
        <v>1.4657959183673362E-3</v>
      </c>
      <c r="D5" s="14">
        <f t="shared" si="2"/>
        <v>82.282177097505084</v>
      </c>
      <c r="E5" s="20">
        <f t="shared" si="3"/>
        <v>3.8285714285714145E-2</v>
      </c>
      <c r="F5" s="14">
        <f t="shared" si="4"/>
        <v>9.0709523809523489</v>
      </c>
      <c r="G5" s="17">
        <f t="shared" si="5"/>
        <v>0.34728789115646008</v>
      </c>
      <c r="H5" s="18">
        <f t="shared" si="6"/>
        <v>-2.7357281942906866</v>
      </c>
      <c r="I5" s="14">
        <f t="shared" si="7"/>
        <v>7.484208753036981</v>
      </c>
      <c r="J5" s="17">
        <f t="shared" si="0"/>
        <v>6.6587554841619347</v>
      </c>
      <c r="K5" s="18"/>
      <c r="L5" s="18"/>
      <c r="M5" s="18"/>
      <c r="N5" s="18"/>
      <c r="O5" s="18"/>
      <c r="P5" s="18"/>
      <c r="Q5" s="34" t="s">
        <v>60</v>
      </c>
      <c r="R5" s="34" t="s">
        <v>61</v>
      </c>
    </row>
    <row r="6" spans="1:18" ht="15" thickTop="1" x14ac:dyDescent="0.3">
      <c r="A6" s="13">
        <v>1.1760000000000002</v>
      </c>
      <c r="B6" s="14">
        <v>388.98</v>
      </c>
      <c r="C6" s="15">
        <f t="shared" si="1"/>
        <v>7.4321145124716687E-2</v>
      </c>
      <c r="D6" s="14">
        <f t="shared" si="2"/>
        <v>7622.9113719387715</v>
      </c>
      <c r="E6" s="20">
        <f t="shared" si="3"/>
        <v>0.27261904761904787</v>
      </c>
      <c r="F6" s="14">
        <f t="shared" si="4"/>
        <v>87.309285714285693</v>
      </c>
      <c r="G6" s="17">
        <f t="shared" si="5"/>
        <v>23.802174319727907</v>
      </c>
      <c r="H6" s="18">
        <f t="shared" si="6"/>
        <v>3.2380838569886237</v>
      </c>
      <c r="I6" s="14">
        <f t="shared" si="7"/>
        <v>10.485187064890322</v>
      </c>
      <c r="J6" s="17">
        <f t="shared" si="0"/>
        <v>7.4485986384451097</v>
      </c>
      <c r="K6" s="18"/>
      <c r="L6" s="18"/>
      <c r="M6" s="18"/>
      <c r="N6" s="18"/>
      <c r="O6" s="18"/>
      <c r="P6" s="18"/>
      <c r="Q6" s="18">
        <f>Q4*2</f>
        <v>4.7385708426351183</v>
      </c>
      <c r="R6" s="18">
        <f>R4*2</f>
        <v>4.9424896967737331</v>
      </c>
    </row>
    <row r="7" spans="1:18" x14ac:dyDescent="0.3">
      <c r="A7" s="13">
        <v>1.436333333333333</v>
      </c>
      <c r="B7" s="14">
        <v>461.10166666666669</v>
      </c>
      <c r="C7" s="15">
        <f t="shared" si="1"/>
        <v>0.28403824036281156</v>
      </c>
      <c r="D7" s="14">
        <f t="shared" si="2"/>
        <v>25418.2285770975</v>
      </c>
      <c r="E7" s="20">
        <f t="shared" si="3"/>
        <v>0.53295238095238073</v>
      </c>
      <c r="F7" s="14">
        <f t="shared" si="4"/>
        <v>159.43095238095236</v>
      </c>
      <c r="G7" s="17">
        <f t="shared" si="5"/>
        <v>84.969105668934191</v>
      </c>
      <c r="H7" s="18">
        <f t="shared" si="6"/>
        <v>-4.9227404027800503</v>
      </c>
      <c r="I7" s="14">
        <f t="shared" si="7"/>
        <v>24.233373073163094</v>
      </c>
      <c r="J7" s="17">
        <f t="shared" si="0"/>
        <v>8.4114277674608857</v>
      </c>
      <c r="K7" s="18"/>
      <c r="L7" s="18"/>
      <c r="M7" s="18"/>
      <c r="N7" s="18"/>
      <c r="O7" s="18"/>
      <c r="P7" s="18"/>
      <c r="Q7" s="18"/>
      <c r="R7" s="18"/>
    </row>
    <row r="8" spans="1:18" x14ac:dyDescent="0.3">
      <c r="A8" s="13">
        <v>1.6390000000000002</v>
      </c>
      <c r="B8" s="14">
        <v>531.7650000000001</v>
      </c>
      <c r="C8" s="15">
        <f t="shared" si="1"/>
        <v>0.54113538321995514</v>
      </c>
      <c r="D8" s="14">
        <f t="shared" si="2"/>
        <v>52943.380318367374</v>
      </c>
      <c r="E8" s="20">
        <f t="shared" si="3"/>
        <v>0.73561904761904795</v>
      </c>
      <c r="F8" s="14">
        <f t="shared" si="4"/>
        <v>230.09428571428577</v>
      </c>
      <c r="G8" s="17">
        <f t="shared" si="5"/>
        <v>169.26173931972801</v>
      </c>
      <c r="H8" s="18">
        <f t="shared" si="6"/>
        <v>3.2415474974254721</v>
      </c>
      <c r="I8" s="14">
        <f t="shared" si="7"/>
        <v>10.507630178065341</v>
      </c>
      <c r="J8" s="17">
        <f t="shared" si="0"/>
        <v>9.2058133918689755</v>
      </c>
      <c r="K8" s="18"/>
      <c r="L8" s="18"/>
      <c r="M8" s="18"/>
      <c r="N8" s="18"/>
      <c r="O8" s="18"/>
      <c r="P8" s="18"/>
      <c r="Q8" s="18"/>
      <c r="R8" s="18"/>
    </row>
    <row r="9" spans="1:18" x14ac:dyDescent="0.3">
      <c r="A9" s="13"/>
      <c r="B9" s="14"/>
      <c r="C9" s="15"/>
      <c r="D9" s="14"/>
      <c r="E9" s="20"/>
      <c r="F9" s="14"/>
      <c r="G9" s="17"/>
      <c r="H9" s="18"/>
      <c r="I9" s="14"/>
      <c r="J9" s="17"/>
      <c r="K9" s="18"/>
      <c r="L9" s="18"/>
      <c r="M9" s="18"/>
      <c r="N9" s="18"/>
      <c r="O9" s="18"/>
      <c r="P9" s="18"/>
      <c r="Q9" s="18"/>
      <c r="R9" s="18"/>
    </row>
  </sheetData>
  <phoneticPr fontId="7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9"/>
  <sheetViews>
    <sheetView workbookViewId="0">
      <selection activeCell="E16" sqref="E16"/>
    </sheetView>
  </sheetViews>
  <sheetFormatPr defaultRowHeight="14.4" x14ac:dyDescent="0.3"/>
  <sheetData>
    <row r="1" spans="1:1" x14ac:dyDescent="0.3">
      <c r="A1" t="s">
        <v>75</v>
      </c>
    </row>
    <row r="3" spans="1:1" x14ac:dyDescent="0.3">
      <c r="A3" t="s">
        <v>76</v>
      </c>
    </row>
    <row r="5" spans="1:1" x14ac:dyDescent="0.3">
      <c r="A5" t="s">
        <v>74</v>
      </c>
    </row>
    <row r="7" spans="1:1" x14ac:dyDescent="0.3">
      <c r="A7" t="s">
        <v>73</v>
      </c>
    </row>
    <row r="9" spans="1:1" x14ac:dyDescent="0.3">
      <c r="A9" t="s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P18"/>
  <sheetViews>
    <sheetView workbookViewId="0">
      <selection activeCell="P17" sqref="I1:P17"/>
    </sheetView>
  </sheetViews>
  <sheetFormatPr defaultRowHeight="14.4" x14ac:dyDescent="0.3"/>
  <cols>
    <col min="1" max="1" width="13.44140625" bestFit="1" customWidth="1"/>
  </cols>
  <sheetData>
    <row r="1" spans="1:16" ht="57.6" x14ac:dyDescent="0.3">
      <c r="A1" s="53" t="s">
        <v>0</v>
      </c>
      <c r="B1" s="53" t="s">
        <v>1</v>
      </c>
      <c r="C1" s="53"/>
      <c r="D1" s="53"/>
      <c r="E1" s="53"/>
      <c r="F1" s="53"/>
      <c r="G1" s="53"/>
      <c r="I1" s="66" t="s">
        <v>65</v>
      </c>
      <c r="J1" s="66" t="s">
        <v>77</v>
      </c>
      <c r="K1" s="66" t="s">
        <v>78</v>
      </c>
      <c r="L1" s="67" t="s">
        <v>79</v>
      </c>
      <c r="M1" s="67" t="s">
        <v>80</v>
      </c>
      <c r="N1" s="67" t="s">
        <v>81</v>
      </c>
      <c r="O1" s="67" t="s">
        <v>82</v>
      </c>
      <c r="P1" s="67" t="s">
        <v>83</v>
      </c>
    </row>
    <row r="2" spans="1:16" x14ac:dyDescent="0.3">
      <c r="A2" s="53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I2" s="68">
        <v>0.27</v>
      </c>
      <c r="J2" s="65">
        <v>1</v>
      </c>
      <c r="K2" s="12">
        <v>4.54</v>
      </c>
      <c r="L2" s="12">
        <v>5.05</v>
      </c>
      <c r="M2" s="12">
        <v>6.2</v>
      </c>
      <c r="N2" s="12">
        <v>6.94</v>
      </c>
      <c r="O2" s="12">
        <v>8.5500000000000007</v>
      </c>
      <c r="P2" s="12">
        <v>9.65</v>
      </c>
    </row>
    <row r="3" spans="1:16" x14ac:dyDescent="0.3">
      <c r="A3" s="52">
        <f>0.047+0.22</f>
        <v>0.26700000000000002</v>
      </c>
      <c r="B3" s="12">
        <v>4.54</v>
      </c>
      <c r="C3" s="12">
        <v>5.05</v>
      </c>
      <c r="D3" s="12">
        <v>6.2</v>
      </c>
      <c r="E3" s="12">
        <v>6.94</v>
      </c>
      <c r="F3" s="12">
        <v>8.5500000000000007</v>
      </c>
      <c r="G3" s="12">
        <v>9.65</v>
      </c>
      <c r="I3" s="69"/>
      <c r="J3" s="65">
        <v>2</v>
      </c>
      <c r="K3" s="12">
        <v>4.38</v>
      </c>
      <c r="L3" s="12">
        <v>5.23</v>
      </c>
      <c r="M3" s="12">
        <v>5.81</v>
      </c>
      <c r="N3" s="12">
        <v>6.91</v>
      </c>
      <c r="O3" s="12">
        <v>7.99</v>
      </c>
      <c r="P3" s="12">
        <v>8.9499999999999993</v>
      </c>
    </row>
    <row r="4" spans="1:16" x14ac:dyDescent="0.3">
      <c r="A4" s="52"/>
      <c r="B4" s="12">
        <v>4.38</v>
      </c>
      <c r="C4" s="12">
        <v>5.23</v>
      </c>
      <c r="D4" s="12">
        <v>5.81</v>
      </c>
      <c r="E4" s="12">
        <v>6.91</v>
      </c>
      <c r="F4" s="12">
        <v>7.99</v>
      </c>
      <c r="G4" s="12">
        <v>8.9499999999999993</v>
      </c>
      <c r="I4" s="69"/>
      <c r="J4" s="65">
        <v>3</v>
      </c>
      <c r="K4" s="12">
        <v>4.45</v>
      </c>
      <c r="L4" s="12">
        <v>5.33</v>
      </c>
      <c r="M4" s="12">
        <v>6.1</v>
      </c>
      <c r="N4" s="12">
        <v>7.19</v>
      </c>
      <c r="O4" s="12">
        <v>8.15</v>
      </c>
      <c r="P4" s="12">
        <v>9.35</v>
      </c>
    </row>
    <row r="5" spans="1:16" x14ac:dyDescent="0.3">
      <c r="A5" s="52"/>
      <c r="B5" s="12">
        <v>4.45</v>
      </c>
      <c r="C5" s="12">
        <v>5.33</v>
      </c>
      <c r="D5" s="12">
        <v>6.1</v>
      </c>
      <c r="E5" s="12">
        <v>7.19</v>
      </c>
      <c r="F5" s="12">
        <v>8.15</v>
      </c>
      <c r="G5" s="12">
        <v>9.35</v>
      </c>
      <c r="I5" s="70"/>
      <c r="J5" s="65">
        <v>4</v>
      </c>
      <c r="K5" s="12">
        <f>SUM(K2:K4)/3</f>
        <v>4.456666666666667</v>
      </c>
      <c r="L5" s="12">
        <f t="shared" ref="L5:P5" si="0">SUM(L2:L4)/3</f>
        <v>5.203333333333334</v>
      </c>
      <c r="M5" s="12">
        <f t="shared" si="0"/>
        <v>6.0366666666666662</v>
      </c>
      <c r="N5" s="12">
        <f t="shared" si="0"/>
        <v>7.0133333333333345</v>
      </c>
      <c r="O5" s="12">
        <f t="shared" si="0"/>
        <v>8.2299999999999986</v>
      </c>
      <c r="P5" s="12">
        <f t="shared" si="0"/>
        <v>9.3166666666666682</v>
      </c>
    </row>
    <row r="6" spans="1:16" x14ac:dyDescent="0.3">
      <c r="A6" s="52"/>
      <c r="B6" s="12">
        <f>SUM(B3:B5)/3</f>
        <v>4.456666666666667</v>
      </c>
      <c r="C6" s="12">
        <f t="shared" ref="C6:G6" si="1">SUM(C3:C5)/3</f>
        <v>5.203333333333334</v>
      </c>
      <c r="D6" s="12">
        <f t="shared" si="1"/>
        <v>6.0366666666666662</v>
      </c>
      <c r="E6" s="12">
        <f t="shared" si="1"/>
        <v>7.0133333333333345</v>
      </c>
      <c r="F6" s="12">
        <f t="shared" si="1"/>
        <v>8.2299999999999986</v>
      </c>
      <c r="G6" s="12">
        <f t="shared" si="1"/>
        <v>9.3166666666666682</v>
      </c>
      <c r="I6" s="68">
        <v>0.49</v>
      </c>
      <c r="J6" s="65">
        <v>1</v>
      </c>
      <c r="K6" s="12">
        <v>3.41</v>
      </c>
      <c r="L6" s="12">
        <v>4.2300000000000004</v>
      </c>
      <c r="M6" s="12">
        <v>4.6100000000000003</v>
      </c>
      <c r="N6" s="12">
        <v>5.16</v>
      </c>
      <c r="O6" s="12">
        <v>6.06</v>
      </c>
      <c r="P6" s="12">
        <v>6.45</v>
      </c>
    </row>
    <row r="7" spans="1:16" x14ac:dyDescent="0.3">
      <c r="A7" s="52">
        <f>0.047+0.22*2</f>
        <v>0.48699999999999999</v>
      </c>
      <c r="B7" s="12">
        <v>3.41</v>
      </c>
      <c r="C7" s="12">
        <v>4.2300000000000004</v>
      </c>
      <c r="D7" s="12">
        <v>4.6100000000000003</v>
      </c>
      <c r="E7" s="12">
        <v>5.16</v>
      </c>
      <c r="F7" s="12">
        <v>6.06</v>
      </c>
      <c r="G7" s="12">
        <v>6.45</v>
      </c>
      <c r="I7" s="69"/>
      <c r="J7" s="65">
        <v>2</v>
      </c>
      <c r="K7" s="12">
        <v>3.48</v>
      </c>
      <c r="L7" s="12">
        <v>4.1900000000000004</v>
      </c>
      <c r="M7" s="12">
        <v>4.7</v>
      </c>
      <c r="N7" s="12">
        <v>4.8899999999999997</v>
      </c>
      <c r="O7" s="12">
        <v>6.21</v>
      </c>
      <c r="P7" s="12">
        <v>6.7</v>
      </c>
    </row>
    <row r="8" spans="1:16" x14ac:dyDescent="0.3">
      <c r="A8" s="52"/>
      <c r="B8" s="12">
        <v>3.48</v>
      </c>
      <c r="C8" s="12">
        <v>4.1900000000000004</v>
      </c>
      <c r="D8" s="12">
        <v>4.7</v>
      </c>
      <c r="E8" s="12">
        <v>4.8899999999999997</v>
      </c>
      <c r="F8" s="12">
        <v>6.21</v>
      </c>
      <c r="G8" s="12">
        <v>6.7</v>
      </c>
      <c r="I8" s="69"/>
      <c r="J8" s="65">
        <v>3</v>
      </c>
      <c r="K8" s="12">
        <v>3.49</v>
      </c>
      <c r="L8" s="12">
        <v>4.16</v>
      </c>
      <c r="M8" s="12">
        <v>4.7699999999999996</v>
      </c>
      <c r="N8" s="12">
        <v>5.01</v>
      </c>
      <c r="O8" s="12">
        <v>5.99</v>
      </c>
      <c r="P8" s="12">
        <v>6.6</v>
      </c>
    </row>
    <row r="9" spans="1:16" x14ac:dyDescent="0.3">
      <c r="A9" s="52"/>
      <c r="B9" s="12">
        <v>3.49</v>
      </c>
      <c r="C9" s="12">
        <v>4.16</v>
      </c>
      <c r="D9" s="12">
        <v>4.7699999999999996</v>
      </c>
      <c r="E9" s="12">
        <v>5.01</v>
      </c>
      <c r="F9" s="12">
        <v>5.99</v>
      </c>
      <c r="G9" s="12">
        <v>6.6</v>
      </c>
      <c r="I9" s="70"/>
      <c r="J9" s="65">
        <v>4</v>
      </c>
      <c r="K9" s="12">
        <f>SUM(K6:K8)/3</f>
        <v>3.4600000000000004</v>
      </c>
      <c r="L9" s="12">
        <f t="shared" ref="L9:P9" si="2">SUM(L6:L8)/3</f>
        <v>4.1933333333333342</v>
      </c>
      <c r="M9" s="12">
        <f t="shared" si="2"/>
        <v>4.6933333333333334</v>
      </c>
      <c r="N9" s="12">
        <f t="shared" si="2"/>
        <v>5.0200000000000005</v>
      </c>
      <c r="O9" s="12">
        <f t="shared" si="2"/>
        <v>6.086666666666666</v>
      </c>
      <c r="P9" s="12">
        <f t="shared" si="2"/>
        <v>6.583333333333333</v>
      </c>
    </row>
    <row r="10" spans="1:16" x14ac:dyDescent="0.3">
      <c r="A10" s="52"/>
      <c r="B10" s="12">
        <f>SUM(B7:B9)/3</f>
        <v>3.4600000000000004</v>
      </c>
      <c r="C10" s="12">
        <f t="shared" ref="C10:G10" si="3">SUM(C7:C9)/3</f>
        <v>4.1933333333333342</v>
      </c>
      <c r="D10" s="12">
        <f t="shared" si="3"/>
        <v>4.6933333333333334</v>
      </c>
      <c r="E10" s="12">
        <f t="shared" si="3"/>
        <v>5.0200000000000005</v>
      </c>
      <c r="F10" s="12">
        <f t="shared" si="3"/>
        <v>6.086666666666666</v>
      </c>
      <c r="G10" s="12">
        <f t="shared" si="3"/>
        <v>6.583333333333333</v>
      </c>
      <c r="I10" s="68">
        <v>0.71</v>
      </c>
      <c r="J10" s="65">
        <v>1</v>
      </c>
      <c r="K10" s="12">
        <v>2.88</v>
      </c>
      <c r="L10" s="12">
        <v>3.39</v>
      </c>
      <c r="M10" s="12">
        <v>3.83</v>
      </c>
      <c r="N10" s="12">
        <v>4.24</v>
      </c>
      <c r="O10" s="12">
        <v>4.88</v>
      </c>
      <c r="P10" s="12">
        <v>5.5</v>
      </c>
    </row>
    <row r="11" spans="1:16" x14ac:dyDescent="0.3">
      <c r="A11" s="52">
        <f>0.047+0.22*3</f>
        <v>0.70700000000000007</v>
      </c>
      <c r="B11" s="12">
        <v>2.88</v>
      </c>
      <c r="C11" s="12">
        <v>3.39</v>
      </c>
      <c r="D11" s="12">
        <v>3.83</v>
      </c>
      <c r="E11" s="12">
        <v>4.24</v>
      </c>
      <c r="F11" s="12">
        <v>4.88</v>
      </c>
      <c r="G11" s="12">
        <v>5.5</v>
      </c>
      <c r="I11" s="69"/>
      <c r="J11" s="65">
        <v>2</v>
      </c>
      <c r="K11" s="12">
        <v>2.98</v>
      </c>
      <c r="L11" s="12">
        <v>3.3</v>
      </c>
      <c r="M11" s="12">
        <v>4.0599999999999996</v>
      </c>
      <c r="N11" s="12">
        <v>4.1900000000000004</v>
      </c>
      <c r="O11" s="12">
        <v>4.91</v>
      </c>
      <c r="P11" s="12">
        <v>5.42</v>
      </c>
    </row>
    <row r="12" spans="1:16" x14ac:dyDescent="0.3">
      <c r="A12" s="52"/>
      <c r="B12" s="12">
        <v>2.98</v>
      </c>
      <c r="C12" s="12">
        <v>3.3</v>
      </c>
      <c r="D12" s="12">
        <v>4.0599999999999996</v>
      </c>
      <c r="E12" s="12">
        <v>4.1900000000000004</v>
      </c>
      <c r="F12" s="12">
        <v>4.91</v>
      </c>
      <c r="G12" s="12">
        <v>5.42</v>
      </c>
      <c r="I12" s="69"/>
      <c r="J12" s="65">
        <v>3</v>
      </c>
      <c r="K12" s="12">
        <v>2.79</v>
      </c>
      <c r="L12" s="12">
        <v>3.35</v>
      </c>
      <c r="M12" s="12">
        <v>3.88</v>
      </c>
      <c r="N12" s="12">
        <v>4.3</v>
      </c>
      <c r="O12" s="12">
        <v>5.05</v>
      </c>
      <c r="P12" s="12">
        <v>5.45</v>
      </c>
    </row>
    <row r="13" spans="1:16" x14ac:dyDescent="0.3">
      <c r="A13" s="52"/>
      <c r="B13" s="12">
        <v>2.79</v>
      </c>
      <c r="C13" s="12">
        <v>3.35</v>
      </c>
      <c r="D13" s="12">
        <v>3.88</v>
      </c>
      <c r="E13" s="12">
        <v>4.3</v>
      </c>
      <c r="F13" s="12">
        <v>5.05</v>
      </c>
      <c r="G13" s="12">
        <v>5.45</v>
      </c>
      <c r="I13" s="70"/>
      <c r="J13" s="65">
        <v>4</v>
      </c>
      <c r="K13" s="12">
        <f>SUM(K10:K12)/3</f>
        <v>2.8833333333333329</v>
      </c>
      <c r="L13" s="12">
        <f t="shared" ref="L13" si="4">SUM(L10:L12)/3</f>
        <v>3.3466666666666662</v>
      </c>
      <c r="M13" s="12">
        <f t="shared" ref="M13:P13" si="5">SUM(M10:M12)/3</f>
        <v>3.9233333333333333</v>
      </c>
      <c r="N13" s="12">
        <f t="shared" si="5"/>
        <v>4.2433333333333332</v>
      </c>
      <c r="O13" s="12">
        <f t="shared" si="5"/>
        <v>4.9466666666666663</v>
      </c>
      <c r="P13" s="12">
        <f t="shared" si="5"/>
        <v>5.456666666666667</v>
      </c>
    </row>
    <row r="14" spans="1:16" x14ac:dyDescent="0.3">
      <c r="A14" s="52"/>
      <c r="B14" s="12">
        <f>SUM(B11:B13)/3</f>
        <v>2.8833333333333329</v>
      </c>
      <c r="C14" s="12">
        <f t="shared" ref="C14" si="6">SUM(C11:C13)/3</f>
        <v>3.3466666666666662</v>
      </c>
      <c r="D14" s="12">
        <f t="shared" ref="D14" si="7">SUM(D11:D13)/3</f>
        <v>3.9233333333333333</v>
      </c>
      <c r="E14" s="12">
        <f t="shared" ref="E14" si="8">SUM(E11:E13)/3</f>
        <v>4.2433333333333332</v>
      </c>
      <c r="F14" s="12">
        <f t="shared" ref="F14" si="9">SUM(F11:F13)/3</f>
        <v>4.9466666666666663</v>
      </c>
      <c r="G14" s="12">
        <f t="shared" ref="G14" si="10">SUM(G11:G13)/3</f>
        <v>5.456666666666667</v>
      </c>
      <c r="I14" s="68">
        <v>0.93</v>
      </c>
      <c r="J14" s="65">
        <v>1</v>
      </c>
      <c r="K14" s="12">
        <v>2.13</v>
      </c>
      <c r="L14" s="12">
        <v>2.83</v>
      </c>
      <c r="M14" s="12">
        <v>3.55</v>
      </c>
      <c r="N14" s="12">
        <v>3.73</v>
      </c>
      <c r="O14" s="12">
        <v>4.34</v>
      </c>
      <c r="P14" s="12">
        <v>4.9000000000000004</v>
      </c>
    </row>
    <row r="15" spans="1:16" x14ac:dyDescent="0.3">
      <c r="A15" s="52">
        <f>0.047+0.22*4</f>
        <v>0.92700000000000005</v>
      </c>
      <c r="B15" s="12">
        <v>2.13</v>
      </c>
      <c r="C15" s="12">
        <v>2.83</v>
      </c>
      <c r="D15" s="12">
        <v>3.55</v>
      </c>
      <c r="E15" s="12">
        <v>3.73</v>
      </c>
      <c r="F15" s="12">
        <v>4.34</v>
      </c>
      <c r="G15" s="12">
        <v>4.9000000000000004</v>
      </c>
      <c r="I15" s="69"/>
      <c r="J15" s="65">
        <v>2</v>
      </c>
      <c r="K15" s="12">
        <v>2.38</v>
      </c>
      <c r="L15" s="12">
        <v>3.05</v>
      </c>
      <c r="M15" s="12">
        <v>3.33</v>
      </c>
      <c r="N15" s="12">
        <v>3.49</v>
      </c>
      <c r="O15" s="12">
        <v>4.13</v>
      </c>
      <c r="P15" s="12">
        <v>4.92</v>
      </c>
    </row>
    <row r="16" spans="1:16" x14ac:dyDescent="0.3">
      <c r="A16" s="52"/>
      <c r="B16" s="12">
        <v>2.38</v>
      </c>
      <c r="C16" s="12">
        <v>3.05</v>
      </c>
      <c r="D16" s="12">
        <v>3.33</v>
      </c>
      <c r="E16" s="12">
        <v>3.49</v>
      </c>
      <c r="F16" s="12">
        <v>4.13</v>
      </c>
      <c r="G16" s="12">
        <v>4.92</v>
      </c>
      <c r="I16" s="69"/>
      <c r="J16" s="65">
        <v>3</v>
      </c>
      <c r="K16" s="12">
        <v>2.31</v>
      </c>
      <c r="L16" s="12">
        <v>2.86</v>
      </c>
      <c r="M16" s="12">
        <v>3.27</v>
      </c>
      <c r="N16" s="12">
        <v>3.67</v>
      </c>
      <c r="O16" s="12">
        <v>4.4400000000000004</v>
      </c>
      <c r="P16" s="12">
        <v>4.8499999999999996</v>
      </c>
    </row>
    <row r="17" spans="1:16" x14ac:dyDescent="0.3">
      <c r="A17" s="52"/>
      <c r="B17" s="12">
        <v>2.31</v>
      </c>
      <c r="C17" s="12">
        <v>2.86</v>
      </c>
      <c r="D17" s="12">
        <v>3.27</v>
      </c>
      <c r="E17" s="12">
        <v>3.67</v>
      </c>
      <c r="F17" s="12">
        <v>4.4400000000000004</v>
      </c>
      <c r="G17" s="12">
        <v>4.8499999999999996</v>
      </c>
      <c r="I17" s="70"/>
      <c r="J17" s="65">
        <v>4</v>
      </c>
      <c r="K17" s="12">
        <f>SUM(K14:K16)/3</f>
        <v>2.2733333333333334</v>
      </c>
      <c r="L17" s="12">
        <f t="shared" ref="L17" si="11">SUM(L14:L16)/3</f>
        <v>2.9133333333333336</v>
      </c>
      <c r="M17" s="12">
        <f t="shared" ref="M17:P17" si="12">SUM(M14:M16)/3</f>
        <v>3.3833333333333333</v>
      </c>
      <c r="N17" s="12">
        <f t="shared" si="12"/>
        <v>3.6300000000000003</v>
      </c>
      <c r="O17" s="12">
        <f t="shared" si="12"/>
        <v>4.3033333333333337</v>
      </c>
      <c r="P17" s="12">
        <f t="shared" si="12"/>
        <v>4.8899999999999997</v>
      </c>
    </row>
    <row r="18" spans="1:16" x14ac:dyDescent="0.3">
      <c r="A18" s="52"/>
      <c r="B18" s="12">
        <f>SUM(B15:B17)/3</f>
        <v>2.2733333333333334</v>
      </c>
      <c r="C18" s="12">
        <f t="shared" ref="C18" si="13">SUM(C15:C17)/3</f>
        <v>2.9133333333333336</v>
      </c>
      <c r="D18" s="12">
        <f t="shared" ref="D18" si="14">SUM(D15:D17)/3</f>
        <v>3.3833333333333333</v>
      </c>
      <c r="E18" s="12">
        <f t="shared" ref="E18" si="15">SUM(E15:E17)/3</f>
        <v>3.6300000000000003</v>
      </c>
      <c r="F18" s="12">
        <f t="shared" ref="F18" si="16">SUM(F15:F17)/3</f>
        <v>4.3033333333333337</v>
      </c>
      <c r="G18" s="12">
        <f t="shared" ref="G18" si="17">SUM(G15:G17)/3</f>
        <v>4.8899999999999997</v>
      </c>
    </row>
  </sheetData>
  <mergeCells count="10">
    <mergeCell ref="I2:I5"/>
    <mergeCell ref="I6:I9"/>
    <mergeCell ref="I10:I13"/>
    <mergeCell ref="I14:I17"/>
    <mergeCell ref="A15:A18"/>
    <mergeCell ref="A1:A2"/>
    <mergeCell ref="B1:G1"/>
    <mergeCell ref="A3:A6"/>
    <mergeCell ref="A7:A10"/>
    <mergeCell ref="A11:A1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26"/>
  <sheetViews>
    <sheetView topLeftCell="A2" workbookViewId="0">
      <selection activeCell="C28" sqref="C28"/>
    </sheetView>
  </sheetViews>
  <sheetFormatPr defaultRowHeight="14.4" x14ac:dyDescent="0.3"/>
  <cols>
    <col min="1" max="1" width="13.44140625" bestFit="1" customWidth="1"/>
  </cols>
  <sheetData>
    <row r="1" spans="1:5" ht="18" customHeight="1" x14ac:dyDescent="0.3"/>
    <row r="2" spans="1:5" ht="16.8" x14ac:dyDescent="0.35">
      <c r="A2" s="21" t="s">
        <v>0</v>
      </c>
      <c r="B2" s="21" t="s">
        <v>8</v>
      </c>
      <c r="C2" s="22" t="s">
        <v>9</v>
      </c>
      <c r="D2" s="23" t="s">
        <v>10</v>
      </c>
      <c r="E2" s="2" t="s">
        <v>11</v>
      </c>
    </row>
    <row r="3" spans="1:5" x14ac:dyDescent="0.3">
      <c r="A3" s="52">
        <f>'Таблица 1'!A3</f>
        <v>0.26700000000000002</v>
      </c>
      <c r="B3" s="12">
        <f>'Таблица 1'!B6</f>
        <v>4.456666666666667</v>
      </c>
      <c r="C3" s="12">
        <f>'Параметры установки'!$A$2*2/B3/B3</f>
        <v>7.0486789600848962E-2</v>
      </c>
      <c r="D3" s="12">
        <f>2*C3/'Параметры установки'!$B$2</f>
        <v>3.0646430261238677</v>
      </c>
      <c r="E3" s="12">
        <f>$A$3*'Параметры установки'!$B$2/2*(9.8-C3)</f>
        <v>5.9748940625061191E-2</v>
      </c>
    </row>
    <row r="4" spans="1:5" x14ac:dyDescent="0.3">
      <c r="A4" s="52"/>
      <c r="B4" s="12">
        <f>'Таблица 1'!C6</f>
        <v>5.203333333333334</v>
      </c>
      <c r="C4" s="12">
        <f>'Параметры установки'!$A$2*2/B4/B4</f>
        <v>5.1708833305084974E-2</v>
      </c>
      <c r="D4" s="12">
        <f>2*C4/'Параметры установки'!$B$2</f>
        <v>2.2482101436993469</v>
      </c>
      <c r="E4" s="12">
        <f>$A$3*'Параметры установки'!$B$2/2*(9.8-C4)</f>
        <v>5.9864256054673486E-2</v>
      </c>
    </row>
    <row r="5" spans="1:5" x14ac:dyDescent="0.3">
      <c r="A5" s="52"/>
      <c r="B5" s="12">
        <f>'Таблица 1'!D6</f>
        <v>6.0366666666666662</v>
      </c>
      <c r="C5" s="12">
        <f>'Параметры установки'!$A$2*2/B5/B5</f>
        <v>3.8417902010567363E-2</v>
      </c>
      <c r="D5" s="12">
        <f>2*C5/'Параметры установки'!$B$2</f>
        <v>1.6703435656768419</v>
      </c>
      <c r="E5" s="12">
        <f>$A$3*'Параметры установки'!$B$2/2*(9.8-C5)</f>
        <v>5.9945875663753118E-2</v>
      </c>
    </row>
    <row r="6" spans="1:5" x14ac:dyDescent="0.3">
      <c r="A6" s="52"/>
      <c r="B6" s="12">
        <f>'Таблица 1'!E6</f>
        <v>7.0133333333333345</v>
      </c>
      <c r="C6" s="12">
        <f>'Параметры установки'!$A$2*2/B6/B6</f>
        <v>2.8462895227630864E-2</v>
      </c>
      <c r="D6" s="12">
        <f>2*C6/'Параметры установки'!$B$2</f>
        <v>1.2375171838100376</v>
      </c>
      <c r="E6" s="12">
        <f>$A$3*'Параметры установки'!$B$2/2*(9.8-C6)</f>
        <v>6.0007009360407135E-2</v>
      </c>
    </row>
    <row r="7" spans="1:5" x14ac:dyDescent="0.3">
      <c r="A7" s="52"/>
      <c r="B7" s="12">
        <f>'Таблица 1'!F6</f>
        <v>8.2299999999999986</v>
      </c>
      <c r="C7" s="12">
        <f>'Параметры установки'!$A$2*2/B7/B7</f>
        <v>2.0669423574068146E-2</v>
      </c>
      <c r="D7" s="12">
        <f>2*C7/'Параметры установки'!$B$2</f>
        <v>0.89867059017687589</v>
      </c>
      <c r="E7" s="12">
        <f>$A$3*'Параметры установки'!$B$2/2*(9.8-C7)</f>
        <v>6.0054869069831658E-2</v>
      </c>
    </row>
    <row r="8" spans="1:5" x14ac:dyDescent="0.3">
      <c r="A8" s="52"/>
      <c r="B8" s="12">
        <f>'Таблица 1'!G6</f>
        <v>9.3166666666666682</v>
      </c>
      <c r="C8" s="12">
        <f>'Параметры установки'!$A$2*2/B8/B8</f>
        <v>1.6128980642023026E-2</v>
      </c>
      <c r="D8" s="12">
        <f>2*C8/'Параметры установки'!$B$2</f>
        <v>0.70126002791404463</v>
      </c>
      <c r="E8" s="12">
        <f>$A$3*'Параметры установки'!$B$2/2*(9.8-C8)</f>
        <v>6.0082751929877345E-2</v>
      </c>
    </row>
    <row r="9" spans="1:5" x14ac:dyDescent="0.3">
      <c r="A9" s="52">
        <f>'Таблица 1'!A7</f>
        <v>0.48699999999999999</v>
      </c>
      <c r="B9" s="12">
        <f>'Таблица 1'!B10</f>
        <v>3.4600000000000004</v>
      </c>
      <c r="C9" s="12">
        <f>'Параметры установки'!$A$2*2/B9/B9</f>
        <v>0.11694343279093851</v>
      </c>
      <c r="D9" s="12">
        <f>2*C9/'Параметры установки'!$B$2</f>
        <v>5.0844970778668914</v>
      </c>
      <c r="E9" s="12">
        <f>$A$9*'Параметры установки'!$B$2/2*(9.8-C9)</f>
        <v>0.1084599166093087</v>
      </c>
    </row>
    <row r="10" spans="1:5" x14ac:dyDescent="0.3">
      <c r="A10" s="52"/>
      <c r="B10" s="12">
        <f>'Таблица 1'!C10</f>
        <v>4.1933333333333342</v>
      </c>
      <c r="C10" s="12">
        <f>'Параметры установки'!$A$2*2/B10/B10</f>
        <v>7.9617633157331988E-2</v>
      </c>
      <c r="D10" s="12">
        <f>2*C10/'Параметры установки'!$B$2</f>
        <v>3.4616362242318255</v>
      </c>
      <c r="E10" s="12">
        <f>$A$9*'Параметры установки'!$B$2/2*(9.8-C10)</f>
        <v>0.10887800289100473</v>
      </c>
    </row>
    <row r="11" spans="1:5" x14ac:dyDescent="0.3">
      <c r="A11" s="52"/>
      <c r="B11" s="12">
        <f>'Таблица 1'!D10</f>
        <v>4.6933333333333334</v>
      </c>
      <c r="C11" s="12">
        <f>'Параметры установки'!$A$2*2/B11/B11</f>
        <v>6.35572701446281E-2</v>
      </c>
      <c r="D11" s="12">
        <f>2*C11/'Параметры установки'!$B$2</f>
        <v>2.7633595715055694</v>
      </c>
      <c r="E11" s="12">
        <f>$A$9*'Параметры установки'!$B$2/2*(9.8-C11)</f>
        <v>0.10905789501711002</v>
      </c>
    </row>
    <row r="12" spans="1:5" x14ac:dyDescent="0.3">
      <c r="A12" s="52"/>
      <c r="B12" s="12">
        <f>'Таблица 1'!E10</f>
        <v>5.0200000000000005</v>
      </c>
      <c r="C12" s="12">
        <f>'Параметры установки'!$A$2*2/B12/B12</f>
        <v>5.5554673735337526E-2</v>
      </c>
      <c r="D12" s="12">
        <f>2*C12/'Параметры установки'!$B$2</f>
        <v>2.415420597188588</v>
      </c>
      <c r="E12" s="12">
        <f>$A$9*'Параметры установки'!$B$2/2*(9.8-C12)</f>
        <v>0.10914753209949049</v>
      </c>
    </row>
    <row r="13" spans="1:5" x14ac:dyDescent="0.3">
      <c r="A13" s="52"/>
      <c r="B13" s="12">
        <f>'Таблица 1'!F10</f>
        <v>6.086666666666666</v>
      </c>
      <c r="C13" s="12">
        <f>'Параметры установки'!$A$2*2/B13/B13</f>
        <v>3.7789313182232075E-2</v>
      </c>
      <c r="D13" s="12">
        <f>2*C13/'Параметры установки'!$B$2</f>
        <v>1.6430136166187859</v>
      </c>
      <c r="E13" s="12">
        <f>$A$9*'Параметры установки'!$B$2/2*(9.8-C13)</f>
        <v>0.10934652190304582</v>
      </c>
    </row>
    <row r="14" spans="1:5" x14ac:dyDescent="0.3">
      <c r="A14" s="52"/>
      <c r="B14" s="12">
        <f>'Таблица 1'!G10</f>
        <v>6.583333333333333</v>
      </c>
      <c r="C14" s="12">
        <f>'Параметры установки'!$A$2*2/B14/B14</f>
        <v>3.2302515622496399E-2</v>
      </c>
      <c r="D14" s="12">
        <f>2*C14/'Параметры установки'!$B$2</f>
        <v>1.4044572009781042</v>
      </c>
      <c r="E14" s="12">
        <f>$A$9*'Параметры установки'!$B$2/2*(9.8-C14)</f>
        <v>0.10940797952251241</v>
      </c>
    </row>
    <row r="15" spans="1:5" x14ac:dyDescent="0.3">
      <c r="A15" s="52">
        <f>'Таблица 1'!A11</f>
        <v>0.70700000000000007</v>
      </c>
      <c r="B15" s="12">
        <f>'Таблица 1'!B14</f>
        <v>2.8833333333333329</v>
      </c>
      <c r="C15" s="12">
        <f>'Параметры установки'!$A$2*2/B15/B15</f>
        <v>0.16839854321895156</v>
      </c>
      <c r="D15" s="12">
        <f>2*C15/'Параметры установки'!$B$2</f>
        <v>7.3216757921283291</v>
      </c>
      <c r="E15" s="12">
        <f>$A$15*'Параметры установки'!$B$2/2*(9.8-C15)</f>
        <v>0.15661947128871664</v>
      </c>
    </row>
    <row r="16" spans="1:5" x14ac:dyDescent="0.3">
      <c r="A16" s="52"/>
      <c r="B16" s="12">
        <f>'Таблица 1'!C14</f>
        <v>3.3466666666666662</v>
      </c>
      <c r="C16" s="12">
        <f>'Параметры установки'!$A$2*2/B16/B16</f>
        <v>0.12499801590450947</v>
      </c>
      <c r="D16" s="12">
        <f>2*C16/'Параметры установки'!$B$2</f>
        <v>5.4346963436743252</v>
      </c>
      <c r="E16" s="12">
        <f>$A$15*'Параметры установки'!$B$2/2*(9.8-C16)</f>
        <v>0.15732520726337679</v>
      </c>
    </row>
    <row r="17" spans="1:5" x14ac:dyDescent="0.3">
      <c r="A17" s="52"/>
      <c r="B17" s="12">
        <f>'Таблица 1'!D14</f>
        <v>3.9233333333333333</v>
      </c>
      <c r="C17" s="12">
        <f>'Параметры установки'!$A$2*2/B17/B17</f>
        <v>9.0953123770598901E-2</v>
      </c>
      <c r="D17" s="12">
        <f>2*C17/'Параметры установки'!$B$2</f>
        <v>3.9544836421999521</v>
      </c>
      <c r="E17" s="12">
        <f>$A$15*'Параметры установки'!$B$2/2*(9.8-C17)</f>
        <v>0.15787881125436634</v>
      </c>
    </row>
    <row r="18" spans="1:5" x14ac:dyDescent="0.3">
      <c r="A18" s="52"/>
      <c r="B18" s="12">
        <f>'Таблица 1'!E14</f>
        <v>4.2433333333333332</v>
      </c>
      <c r="C18" s="12">
        <f>'Параметры установки'!$A$2*2/B18/B18</f>
        <v>7.7752388263338704E-2</v>
      </c>
      <c r="D18" s="12">
        <f>2*C18/'Параметры установки'!$B$2</f>
        <v>3.380538620145161</v>
      </c>
      <c r="E18" s="12">
        <f>$A$15*'Параметры установки'!$B$2/2*(9.8-C18)</f>
        <v>0.15809346841444988</v>
      </c>
    </row>
    <row r="19" spans="1:5" x14ac:dyDescent="0.3">
      <c r="A19" s="52"/>
      <c r="B19" s="12">
        <f>'Таблица 1'!F14</f>
        <v>4.9466666666666663</v>
      </c>
      <c r="C19" s="12">
        <f>'Параметры установки'!$A$2*2/B19/B19</f>
        <v>5.7214056858058283E-2</v>
      </c>
      <c r="D19" s="12">
        <f>2*C19/'Параметры установки'!$B$2</f>
        <v>2.487567689480795</v>
      </c>
      <c r="E19" s="12">
        <f>$A$15*'Параметры установки'!$B$2/2*(9.8-C19)</f>
        <v>0.15842744222143115</v>
      </c>
    </row>
    <row r="20" spans="1:5" x14ac:dyDescent="0.3">
      <c r="A20" s="52"/>
      <c r="B20" s="12">
        <f>'Таблица 1'!G14</f>
        <v>5.456666666666667</v>
      </c>
      <c r="C20" s="12">
        <f>'Параметры установки'!$A$2*2/B20/B20</f>
        <v>4.7018978128338662E-2</v>
      </c>
      <c r="D20" s="12">
        <f>2*C20/'Параметры установки'!$B$2</f>
        <v>2.0443033968842896</v>
      </c>
      <c r="E20" s="12">
        <f>$A$15*'Параметры установки'!$B$2/2*(9.8-C20)</f>
        <v>0.1585932243966551</v>
      </c>
    </row>
    <row r="21" spans="1:5" x14ac:dyDescent="0.3">
      <c r="A21" s="52">
        <f>'Таблица 1'!A15</f>
        <v>0.92700000000000005</v>
      </c>
      <c r="B21" s="12">
        <f>'Таблица 1'!B18</f>
        <v>2.2733333333333334</v>
      </c>
      <c r="C21" s="12">
        <f>'Параметры установки'!$A$2*2/B21/B21</f>
        <v>0.27089550313464789</v>
      </c>
      <c r="D21" s="12">
        <f>2*C21/'Параметры установки'!$B$2</f>
        <v>11.778065353680343</v>
      </c>
      <c r="E21" s="12">
        <f>$A$21*'Параметры установки'!$B$2/2*(9.8-C21)</f>
        <v>0.20317003697766617</v>
      </c>
    </row>
    <row r="22" spans="1:5" x14ac:dyDescent="0.3">
      <c r="A22" s="52"/>
      <c r="B22" s="12">
        <f>'Таблица 1'!C18</f>
        <v>2.9133333333333336</v>
      </c>
      <c r="C22" s="12">
        <f>'Параметры установки'!$A$2*2/B22/B22</f>
        <v>0.16494823767208289</v>
      </c>
      <c r="D22" s="12">
        <f>2*C22/'Параметры установки'!$B$2</f>
        <v>7.171662507481865</v>
      </c>
      <c r="E22" s="12">
        <f>$A$21*'Параметры установки'!$B$2/2*(9.8-C22)</f>
        <v>0.20542893862459352</v>
      </c>
    </row>
    <row r="23" spans="1:5" x14ac:dyDescent="0.3">
      <c r="A23" s="52"/>
      <c r="B23" s="12">
        <f>'Таблица 1'!D18</f>
        <v>3.3833333333333333</v>
      </c>
      <c r="C23" s="12">
        <f>'Параметры установки'!$A$2*2/B23/B23</f>
        <v>0.12230338032953966</v>
      </c>
      <c r="D23" s="12">
        <f>2*C23/'Параметры установки'!$B$2</f>
        <v>5.3175382751973768</v>
      </c>
      <c r="E23" s="12">
        <f>$A$21*'Параметры установки'!$B$2/2*(9.8-C23)</f>
        <v>0.20633816962799392</v>
      </c>
    </row>
    <row r="24" spans="1:5" x14ac:dyDescent="0.3">
      <c r="A24" s="52"/>
      <c r="B24" s="12">
        <f>'Таблица 1'!E18</f>
        <v>3.6300000000000003</v>
      </c>
      <c r="C24" s="12">
        <f>'Параметры установки'!$A$2*2/B24/B24</f>
        <v>0.1062465375012332</v>
      </c>
      <c r="D24" s="12">
        <f>2*C24/'Параметры установки'!$B$2</f>
        <v>4.6194146739666611</v>
      </c>
      <c r="E24" s="12">
        <f>$A$21*'Параметры установки'!$B$2/2*(9.8-C24)</f>
        <v>0.20668051757393621</v>
      </c>
    </row>
    <row r="25" spans="1:5" x14ac:dyDescent="0.3">
      <c r="A25" s="52"/>
      <c r="B25" s="12">
        <f>'Таблица 1'!F18</f>
        <v>4.3033333333333337</v>
      </c>
      <c r="C25" s="12">
        <f>'Параметры установки'!$A$2*2/B25/B25</f>
        <v>7.5599349845591315E-2</v>
      </c>
      <c r="D25" s="12">
        <f>2*C25/'Параметры установки'!$B$2</f>
        <v>3.2869282541561442</v>
      </c>
      <c r="E25" s="12">
        <f>$A$21*'Параметры установки'!$B$2/2*(9.8-C25)</f>
        <v>0.20733394626194215</v>
      </c>
    </row>
    <row r="26" spans="1:5" x14ac:dyDescent="0.3">
      <c r="A26" s="52"/>
      <c r="B26" s="12">
        <f>'Таблица 1'!G18</f>
        <v>4.8899999999999997</v>
      </c>
      <c r="C26" s="12">
        <f>'Параметры установки'!$A$2*2/B26/B26</f>
        <v>5.8547764520891096E-2</v>
      </c>
      <c r="D26" s="12">
        <f>2*C26/'Параметры установки'!$B$2</f>
        <v>2.5455549791691783</v>
      </c>
      <c r="E26" s="12">
        <f>$A$21*'Параметры установки'!$B$2/2*(9.8-C26)</f>
        <v>0.20769750311265009</v>
      </c>
    </row>
  </sheetData>
  <mergeCells count="4">
    <mergeCell ref="A21:A26"/>
    <mergeCell ref="A3:A8"/>
    <mergeCell ref="A9:A14"/>
    <mergeCell ref="A15:A20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G4"/>
  <sheetViews>
    <sheetView workbookViewId="0">
      <selection activeCell="G2" sqref="G2"/>
    </sheetView>
  </sheetViews>
  <sheetFormatPr defaultRowHeight="14.4" x14ac:dyDescent="0.3"/>
  <cols>
    <col min="1" max="1" width="12.88671875" bestFit="1" customWidth="1"/>
  </cols>
  <sheetData>
    <row r="1" spans="1:7" ht="28.8" x14ac:dyDescent="0.3">
      <c r="A1" s="32" t="s">
        <v>51</v>
      </c>
      <c r="B1" s="33">
        <v>1</v>
      </c>
      <c r="C1" s="33">
        <v>2</v>
      </c>
      <c r="D1" s="33">
        <v>3</v>
      </c>
      <c r="E1" s="33">
        <v>4</v>
      </c>
      <c r="F1" s="33">
        <v>5</v>
      </c>
      <c r="G1" s="33">
        <v>6</v>
      </c>
    </row>
    <row r="2" spans="1:7" x14ac:dyDescent="0.3">
      <c r="A2" s="32" t="s">
        <v>52</v>
      </c>
      <c r="B2" s="2">
        <f>'Параметры установки'!$C$2+(B1-1)*'Параметры установки'!$D$2+'Параметры установки'!$E$2/2</f>
        <v>7.6999999999999999E-2</v>
      </c>
      <c r="C2" s="2">
        <f>'Параметры установки'!$C$2+(C1-1)*'Параметры установки'!$D$2+'Параметры установки'!$E$2/2</f>
        <v>0.10200000000000001</v>
      </c>
      <c r="D2" s="2">
        <f>'Параметры установки'!$C$2+(D1-1)*'Параметры установки'!$D$2+'Параметры установки'!$E$2/2</f>
        <v>0.127</v>
      </c>
      <c r="E2" s="2">
        <f>'Параметры установки'!$C$2+(E1-1)*'Параметры установки'!$D$2+'Параметры установки'!$E$2/2</f>
        <v>0.152</v>
      </c>
      <c r="F2" s="2">
        <f>'Параметры установки'!$C$2+(F1-1)*'Параметры установки'!$D$2+'Параметры установки'!$E$2/2</f>
        <v>0.17699999999999999</v>
      </c>
      <c r="G2" s="2">
        <f>'Параметры установки'!$C$2+(G1-1)*'Параметры установки'!$D$2+'Параметры установки'!$E$2/2</f>
        <v>0.20199999999999999</v>
      </c>
    </row>
    <row r="3" spans="1:7" ht="16.2" x14ac:dyDescent="0.3">
      <c r="A3" s="32" t="s">
        <v>53</v>
      </c>
      <c r="B3" s="2">
        <f>B2*B2</f>
        <v>5.9290000000000002E-3</v>
      </c>
      <c r="C3" s="2">
        <f t="shared" ref="C3:G3" si="0">C2*C2</f>
        <v>1.0404000000000002E-2</v>
      </c>
      <c r="D3" s="2">
        <f t="shared" si="0"/>
        <v>1.6129000000000001E-2</v>
      </c>
      <c r="E3" s="2">
        <f t="shared" si="0"/>
        <v>2.3104E-2</v>
      </c>
      <c r="F3" s="2">
        <f t="shared" si="0"/>
        <v>3.1328999999999996E-2</v>
      </c>
      <c r="G3" s="2">
        <f t="shared" si="0"/>
        <v>4.0803999999999993E-2</v>
      </c>
    </row>
    <row r="4" spans="1:7" x14ac:dyDescent="0.3">
      <c r="A4" s="32" t="s">
        <v>54</v>
      </c>
      <c r="B4" s="12">
        <f>'МНК рис.1'!N2</f>
        <v>1.6148340819871338E-2</v>
      </c>
      <c r="C4" s="12">
        <f>'МНК рис.2'!N2</f>
        <v>2.8723750368514992E-2</v>
      </c>
      <c r="D4" s="12">
        <f>'МНК рис.3'!N2</f>
        <v>4.0114804289598557E-2</v>
      </c>
      <c r="E4" s="12">
        <f>'МНК рис.4'!N2</f>
        <v>4.391533448080031E-2</v>
      </c>
      <c r="F4" s="12">
        <f>'МНК рис.5'!N2</f>
        <v>6.1256932771825548E-2</v>
      </c>
      <c r="G4" s="12">
        <f>'МНК рис.6'!N2</f>
        <v>7.9279863327281985E-2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"/>
  <sheetViews>
    <sheetView topLeftCell="A2" zoomScale="84" zoomScaleNormal="100" workbookViewId="0">
      <selection activeCell="T22" sqref="T22"/>
    </sheetView>
  </sheetViews>
  <sheetFormatPr defaultRowHeight="14.4" x14ac:dyDescent="0.3"/>
  <sheetData/>
  <pageMargins left="0.7" right="0.7" top="0.75" bottom="0.75" header="0.3" footer="0.3"/>
  <pageSetup paperSize="9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"/>
  <sheetViews>
    <sheetView zoomScale="89" workbookViewId="0">
      <selection activeCell="R19" sqref="R19"/>
    </sheetView>
  </sheetViews>
  <sheetFormatPr defaultRowHeight="14.4" x14ac:dyDescent="0.3"/>
  <sheetData/>
  <pageMargins left="0.7" right="0.7" top="0.75" bottom="0.75" header="0.3" footer="0.3"/>
  <pageSetup paperSize="9"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-0.499984740745262"/>
  </sheetPr>
  <dimension ref="A1:G51"/>
  <sheetViews>
    <sheetView topLeftCell="A6" workbookViewId="0">
      <selection activeCell="P18" sqref="I2:P18"/>
    </sheetView>
  </sheetViews>
  <sheetFormatPr defaultRowHeight="14.4" x14ac:dyDescent="0.3"/>
  <cols>
    <col min="1" max="1" width="14.33203125" customWidth="1"/>
    <col min="2" max="2" width="11" customWidth="1"/>
    <col min="3" max="3" width="11.33203125" customWidth="1"/>
    <col min="4" max="4" width="10.6640625" customWidth="1"/>
    <col min="5" max="5" width="10" customWidth="1"/>
    <col min="6" max="6" width="10.33203125" customWidth="1"/>
    <col min="7" max="7" width="13.44140625" customWidth="1"/>
  </cols>
  <sheetData>
    <row r="1" spans="1:7" ht="47.4" customHeight="1" x14ac:dyDescent="0.3">
      <c r="A1" s="54" t="s">
        <v>62</v>
      </c>
      <c r="B1" s="54"/>
      <c r="C1" s="54"/>
      <c r="D1" s="54"/>
      <c r="E1" s="54"/>
      <c r="F1" s="54"/>
      <c r="G1" s="54"/>
    </row>
    <row r="2" spans="1:7" x14ac:dyDescent="0.3">
      <c r="A2" s="63" t="s">
        <v>65</v>
      </c>
      <c r="B2" s="56" t="s">
        <v>1</v>
      </c>
      <c r="C2" s="57"/>
      <c r="D2" s="57"/>
      <c r="E2" s="57"/>
      <c r="F2" s="57"/>
      <c r="G2" s="58"/>
    </row>
    <row r="3" spans="1:7" x14ac:dyDescent="0.3">
      <c r="A3" s="64"/>
      <c r="B3" s="40" t="s">
        <v>2</v>
      </c>
      <c r="C3" s="40" t="s">
        <v>3</v>
      </c>
      <c r="D3" s="40" t="s">
        <v>4</v>
      </c>
      <c r="E3" s="40" t="s">
        <v>5</v>
      </c>
      <c r="F3" s="40" t="s">
        <v>6</v>
      </c>
      <c r="G3" s="40" t="s">
        <v>7</v>
      </c>
    </row>
    <row r="4" spans="1:7" x14ac:dyDescent="0.3">
      <c r="A4" s="59">
        <f>0.047+0.22</f>
        <v>0.26700000000000002</v>
      </c>
      <c r="B4" s="41">
        <v>4.2</v>
      </c>
      <c r="C4" s="41">
        <v>4.97</v>
      </c>
      <c r="D4" s="41">
        <v>6</v>
      </c>
      <c r="E4" s="41">
        <v>6.86</v>
      </c>
      <c r="F4" s="41">
        <v>7.78</v>
      </c>
      <c r="G4" s="41">
        <v>8.8800000000000008</v>
      </c>
    </row>
    <row r="5" spans="1:7" x14ac:dyDescent="0.3">
      <c r="A5" s="60"/>
      <c r="B5" s="41">
        <v>4.3</v>
      </c>
      <c r="C5" s="41">
        <v>4.87</v>
      </c>
      <c r="D5" s="41">
        <v>5.93</v>
      </c>
      <c r="E5" s="41">
        <v>6.87</v>
      </c>
      <c r="F5" s="41">
        <v>7.8</v>
      </c>
      <c r="G5" s="41">
        <v>8.94</v>
      </c>
    </row>
    <row r="6" spans="1:7" x14ac:dyDescent="0.3">
      <c r="A6" s="60"/>
      <c r="B6" s="41">
        <v>4.3600000000000003</v>
      </c>
      <c r="C6" s="41">
        <v>4.95</v>
      </c>
      <c r="D6" s="41">
        <v>6.04</v>
      </c>
      <c r="E6" s="41">
        <v>6.96</v>
      </c>
      <c r="F6" s="41">
        <v>7.91</v>
      </c>
      <c r="G6" s="41">
        <v>9.02</v>
      </c>
    </row>
    <row r="7" spans="1:7" x14ac:dyDescent="0.3">
      <c r="A7" s="61"/>
      <c r="B7" s="41">
        <f>SUM(B4:B6)/3</f>
        <v>4.2866666666666662</v>
      </c>
      <c r="C7" s="41">
        <f t="shared" ref="C7:G7" si="0">SUM(C4:C6)/3</f>
        <v>4.93</v>
      </c>
      <c r="D7" s="41">
        <f t="shared" si="0"/>
        <v>5.9899999999999993</v>
      </c>
      <c r="E7" s="41">
        <f t="shared" si="0"/>
        <v>6.8966666666666674</v>
      </c>
      <c r="F7" s="41">
        <f t="shared" si="0"/>
        <v>7.830000000000001</v>
      </c>
      <c r="G7" s="41">
        <f t="shared" si="0"/>
        <v>8.9466666666666672</v>
      </c>
    </row>
    <row r="8" spans="1:7" x14ac:dyDescent="0.3">
      <c r="A8" s="59">
        <f>0.047+0.22*2</f>
        <v>0.48699999999999999</v>
      </c>
      <c r="B8" s="41">
        <v>3.27</v>
      </c>
      <c r="C8" s="41">
        <v>3.52</v>
      </c>
      <c r="D8" s="41">
        <v>4.3600000000000003</v>
      </c>
      <c r="E8" s="41">
        <v>4.99</v>
      </c>
      <c r="F8" s="41">
        <v>5.67</v>
      </c>
      <c r="G8" s="41">
        <v>6.36</v>
      </c>
    </row>
    <row r="9" spans="1:7" x14ac:dyDescent="0.3">
      <c r="A9" s="60"/>
      <c r="B9" s="41">
        <v>3.18</v>
      </c>
      <c r="C9" s="41">
        <v>3.63</v>
      </c>
      <c r="D9" s="41">
        <v>4.3499999999999996</v>
      </c>
      <c r="E9" s="41">
        <v>5.0199999999999996</v>
      </c>
      <c r="F9" s="41">
        <v>5.74</v>
      </c>
      <c r="G9" s="41">
        <v>6.39</v>
      </c>
    </row>
    <row r="10" spans="1:7" x14ac:dyDescent="0.3">
      <c r="A10" s="60"/>
      <c r="B10" s="41">
        <v>3.13</v>
      </c>
      <c r="C10" s="41">
        <v>3.64</v>
      </c>
      <c r="D10" s="41">
        <v>4.17</v>
      </c>
      <c r="E10" s="41">
        <v>4.96</v>
      </c>
      <c r="F10" s="41">
        <v>5.65</v>
      </c>
      <c r="G10" s="41">
        <v>6.37</v>
      </c>
    </row>
    <row r="11" spans="1:7" x14ac:dyDescent="0.3">
      <c r="A11" s="61"/>
      <c r="B11" s="41">
        <f>SUM(B8:B10)/3</f>
        <v>3.1933333333333334</v>
      </c>
      <c r="C11" s="41">
        <f t="shared" ref="C11:G11" si="1">SUM(C8:C10)/3</f>
        <v>3.5966666666666671</v>
      </c>
      <c r="D11" s="41">
        <f t="shared" si="1"/>
        <v>4.2933333333333339</v>
      </c>
      <c r="E11" s="41">
        <f t="shared" si="1"/>
        <v>4.9899999999999993</v>
      </c>
      <c r="F11" s="41">
        <f t="shared" si="1"/>
        <v>5.6866666666666674</v>
      </c>
      <c r="G11" s="41">
        <f t="shared" si="1"/>
        <v>6.373333333333334</v>
      </c>
    </row>
    <row r="12" spans="1:7" x14ac:dyDescent="0.3">
      <c r="A12" s="59">
        <f>0.047+0.22*3</f>
        <v>0.70700000000000007</v>
      </c>
      <c r="B12" s="41">
        <v>2.5099999999999998</v>
      </c>
      <c r="C12" s="41">
        <v>2.94</v>
      </c>
      <c r="D12" s="41">
        <v>3.45</v>
      </c>
      <c r="E12" s="41">
        <v>4.1399999999999997</v>
      </c>
      <c r="F12" s="41">
        <v>4.6399999999999997</v>
      </c>
      <c r="G12" s="41">
        <v>5.24</v>
      </c>
    </row>
    <row r="13" spans="1:7" x14ac:dyDescent="0.3">
      <c r="A13" s="60"/>
      <c r="B13" s="41">
        <v>2.56</v>
      </c>
      <c r="C13" s="41">
        <v>2.93</v>
      </c>
      <c r="D13" s="41">
        <v>3.55</v>
      </c>
      <c r="E13" s="41">
        <v>4.08</v>
      </c>
      <c r="F13" s="41">
        <v>4.75</v>
      </c>
      <c r="G13" s="41">
        <v>5.27</v>
      </c>
    </row>
    <row r="14" spans="1:7" x14ac:dyDescent="0.3">
      <c r="A14" s="60"/>
      <c r="B14" s="41">
        <v>2.5299999999999998</v>
      </c>
      <c r="C14" s="41">
        <v>3.02</v>
      </c>
      <c r="D14" s="41">
        <v>3.49</v>
      </c>
      <c r="E14" s="41">
        <v>4.07</v>
      </c>
      <c r="F14" s="41">
        <v>4.62</v>
      </c>
      <c r="G14" s="41">
        <v>5.28</v>
      </c>
    </row>
    <row r="15" spans="1:7" x14ac:dyDescent="0.3">
      <c r="A15" s="61"/>
      <c r="B15" s="41">
        <f>SUM(B12:B14)/3</f>
        <v>2.5333333333333332</v>
      </c>
      <c r="C15" s="41">
        <f t="shared" ref="C15" si="2">SUM(C12:C14)/3</f>
        <v>2.9633333333333334</v>
      </c>
      <c r="D15" s="41">
        <f t="shared" ref="D15:G15" si="3">SUM(D12:D14)/3</f>
        <v>3.4966666666666666</v>
      </c>
      <c r="E15" s="41">
        <f t="shared" si="3"/>
        <v>4.0966666666666667</v>
      </c>
      <c r="F15" s="41">
        <f t="shared" si="3"/>
        <v>4.6700000000000008</v>
      </c>
      <c r="G15" s="41">
        <f t="shared" si="3"/>
        <v>5.2633333333333328</v>
      </c>
    </row>
    <row r="16" spans="1:7" x14ac:dyDescent="0.3">
      <c r="A16" s="59">
        <f>0.047+0.22*4</f>
        <v>0.92700000000000005</v>
      </c>
      <c r="B16" s="41">
        <v>2.23</v>
      </c>
      <c r="C16" s="41">
        <v>2.59</v>
      </c>
      <c r="D16" s="41">
        <v>3.1</v>
      </c>
      <c r="E16" s="41">
        <v>3.55</v>
      </c>
      <c r="F16" s="41">
        <v>4.0599999999999996</v>
      </c>
      <c r="G16" s="41">
        <v>4.6100000000000003</v>
      </c>
    </row>
    <row r="17" spans="1:7" x14ac:dyDescent="0.3">
      <c r="A17" s="60"/>
      <c r="B17" s="41">
        <v>2.23</v>
      </c>
      <c r="C17" s="41">
        <v>2.59</v>
      </c>
      <c r="D17" s="41">
        <v>3.06</v>
      </c>
      <c r="E17" s="41">
        <v>3.56</v>
      </c>
      <c r="F17" s="41">
        <v>4.01</v>
      </c>
      <c r="G17" s="41">
        <v>4.5599999999999996</v>
      </c>
    </row>
    <row r="18" spans="1:7" x14ac:dyDescent="0.3">
      <c r="A18" s="60"/>
      <c r="B18" s="41">
        <v>2.12</v>
      </c>
      <c r="C18" s="41">
        <v>2.46</v>
      </c>
      <c r="D18" s="41">
        <v>3.09</v>
      </c>
      <c r="E18" s="41">
        <v>3.58</v>
      </c>
      <c r="F18" s="41">
        <v>4.07</v>
      </c>
      <c r="G18" s="41">
        <v>4.68</v>
      </c>
    </row>
    <row r="19" spans="1:7" x14ac:dyDescent="0.3">
      <c r="A19" s="61"/>
      <c r="B19" s="41">
        <f>SUM(B16:B18)/3</f>
        <v>2.1933333333333334</v>
      </c>
      <c r="C19" s="41">
        <f t="shared" ref="C19" si="4">SUM(C16:C18)/3</f>
        <v>2.5466666666666664</v>
      </c>
      <c r="D19" s="41">
        <f t="shared" ref="D19:G19" si="5">SUM(D16:D18)/3</f>
        <v>3.0833333333333335</v>
      </c>
      <c r="E19" s="41">
        <f t="shared" si="5"/>
        <v>3.563333333333333</v>
      </c>
      <c r="F19" s="41">
        <f t="shared" si="5"/>
        <v>4.0466666666666669</v>
      </c>
      <c r="G19" s="41">
        <f t="shared" si="5"/>
        <v>4.6166666666666663</v>
      </c>
    </row>
    <row r="20" spans="1:7" ht="41.4" customHeight="1" x14ac:dyDescent="0.3">
      <c r="A20" s="54" t="s">
        <v>63</v>
      </c>
      <c r="B20" s="54"/>
      <c r="C20" s="54"/>
      <c r="D20" s="54"/>
      <c r="E20" s="54"/>
      <c r="F20" s="42"/>
      <c r="G20" s="42"/>
    </row>
    <row r="21" spans="1:7" ht="15.6" x14ac:dyDescent="0.35">
      <c r="A21" s="40" t="s">
        <v>65</v>
      </c>
      <c r="B21" s="43" t="s">
        <v>67</v>
      </c>
      <c r="C21" s="44" t="s">
        <v>68</v>
      </c>
      <c r="D21" s="45" t="s">
        <v>69</v>
      </c>
      <c r="E21" s="46" t="s">
        <v>11</v>
      </c>
      <c r="F21" s="42"/>
      <c r="G21" s="42"/>
    </row>
    <row r="22" spans="1:7" x14ac:dyDescent="0.3">
      <c r="A22" s="59">
        <v>0.26700000000000002</v>
      </c>
      <c r="B22" s="41">
        <v>4.2866666666666662</v>
      </c>
      <c r="C22" s="41">
        <v>7.6188356967848536E-2</v>
      </c>
      <c r="D22" s="41">
        <v>3.3125372594716755</v>
      </c>
      <c r="E22" s="41">
        <v>5.9713927299860449E-2</v>
      </c>
      <c r="F22" s="42"/>
      <c r="G22" s="42"/>
    </row>
    <row r="23" spans="1:7" x14ac:dyDescent="0.3">
      <c r="A23" s="60"/>
      <c r="B23" s="41">
        <v>4.93</v>
      </c>
      <c r="C23" s="41">
        <v>5.7601553596188425E-2</v>
      </c>
      <c r="D23" s="41">
        <v>2.5044153737473227</v>
      </c>
      <c r="E23" s="41">
        <v>5.982806885936582E-2</v>
      </c>
      <c r="F23" s="42"/>
      <c r="G23" s="42"/>
    </row>
    <row r="24" spans="1:7" x14ac:dyDescent="0.3">
      <c r="A24" s="60"/>
      <c r="B24" s="41">
        <v>5.9899999999999993</v>
      </c>
      <c r="C24" s="41">
        <v>3.901884331426056E-2</v>
      </c>
      <c r="D24" s="41">
        <v>1.6964714484461114</v>
      </c>
      <c r="E24" s="41">
        <v>5.994218528320714E-2</v>
      </c>
      <c r="F24" s="42"/>
      <c r="G24" s="42"/>
    </row>
    <row r="25" spans="1:7" x14ac:dyDescent="0.3">
      <c r="A25" s="60"/>
      <c r="B25" s="41">
        <v>6.8966666666666674</v>
      </c>
      <c r="C25" s="41">
        <v>2.9434018857861947E-2</v>
      </c>
      <c r="D25" s="41">
        <v>1.2797399503418239</v>
      </c>
      <c r="E25" s="41">
        <v>6.0001045690193884E-2</v>
      </c>
      <c r="F25" s="42"/>
      <c r="G25" s="42"/>
    </row>
    <row r="26" spans="1:7" x14ac:dyDescent="0.3">
      <c r="A26" s="60"/>
      <c r="B26" s="41">
        <v>7.830000000000001</v>
      </c>
      <c r="C26" s="41">
        <v>2.2835183798763304E-2</v>
      </c>
      <c r="D26" s="41">
        <v>0.99283407820710023</v>
      </c>
      <c r="E26" s="41">
        <v>6.0041569136291807E-2</v>
      </c>
      <c r="F26" s="42"/>
      <c r="G26" s="42"/>
    </row>
    <row r="27" spans="1:7" x14ac:dyDescent="0.3">
      <c r="A27" s="61"/>
      <c r="B27" s="41">
        <v>8.9466666666666672</v>
      </c>
      <c r="C27" s="41">
        <v>1.7490632794436755E-2</v>
      </c>
      <c r="D27" s="41">
        <v>0.76046229541029375</v>
      </c>
      <c r="E27" s="41">
        <v>6.0074390024009376E-2</v>
      </c>
      <c r="F27" s="42"/>
      <c r="G27" s="42"/>
    </row>
    <row r="28" spans="1:7" x14ac:dyDescent="0.3">
      <c r="A28" s="59">
        <v>0.48699999999999999</v>
      </c>
      <c r="B28" s="41">
        <v>3.1933333333333334</v>
      </c>
      <c r="C28" s="41">
        <v>0.13729019660827838</v>
      </c>
      <c r="D28" s="41">
        <v>5.9691389829686248</v>
      </c>
      <c r="E28" s="41">
        <v>0.10823201250779067</v>
      </c>
      <c r="F28" s="42"/>
      <c r="G28" s="42"/>
    </row>
    <row r="29" spans="1:7" x14ac:dyDescent="0.3">
      <c r="A29" s="60"/>
      <c r="B29" s="41">
        <v>3.5966666666666671</v>
      </c>
      <c r="C29" s="41">
        <v>0.10822501526745747</v>
      </c>
      <c r="D29" s="41">
        <v>4.7054354464111947</v>
      </c>
      <c r="E29" s="41">
        <v>0.10855757160398921</v>
      </c>
      <c r="F29" s="42"/>
      <c r="G29" s="42"/>
    </row>
    <row r="30" spans="1:7" x14ac:dyDescent="0.3">
      <c r="A30" s="60"/>
      <c r="B30" s="41">
        <v>4.2933333333333339</v>
      </c>
      <c r="C30" s="41">
        <v>7.5951930866864678E-2</v>
      </c>
      <c r="D30" s="41">
        <v>3.3022578637767253</v>
      </c>
      <c r="E30" s="41">
        <v>0.10891906242236025</v>
      </c>
      <c r="F30" s="42"/>
      <c r="G30" s="42"/>
    </row>
    <row r="31" spans="1:7" x14ac:dyDescent="0.3">
      <c r="A31" s="60"/>
      <c r="B31" s="41">
        <v>4.9899999999999993</v>
      </c>
      <c r="C31" s="41">
        <v>5.6224673796490786E-2</v>
      </c>
      <c r="D31" s="41">
        <v>2.4445510346300341</v>
      </c>
      <c r="E31" s="41">
        <v>0.10914002742880551</v>
      </c>
      <c r="F31" s="42"/>
      <c r="G31" s="42"/>
    </row>
    <row r="32" spans="1:7" x14ac:dyDescent="0.3">
      <c r="A32" s="60"/>
      <c r="B32" s="41">
        <v>5.6866666666666674</v>
      </c>
      <c r="C32" s="41">
        <v>4.3292482638340082E-2</v>
      </c>
      <c r="D32" s="41">
        <v>1.8822818538408732</v>
      </c>
      <c r="E32" s="41">
        <v>0.10928488090196795</v>
      </c>
      <c r="F32" s="42"/>
      <c r="G32" s="42"/>
    </row>
    <row r="33" spans="1:7" x14ac:dyDescent="0.3">
      <c r="A33" s="61"/>
      <c r="B33" s="41">
        <v>6.373333333333334</v>
      </c>
      <c r="C33" s="41">
        <v>3.4466308362948818E-2</v>
      </c>
      <c r="D33" s="41">
        <v>1.4985351462151659</v>
      </c>
      <c r="E33" s="41">
        <v>0.1093837428800266</v>
      </c>
      <c r="F33" s="42"/>
      <c r="G33" s="42"/>
    </row>
    <row r="34" spans="1:7" x14ac:dyDescent="0.3">
      <c r="A34" s="59">
        <v>0.70700000000000007</v>
      </c>
      <c r="B34" s="41">
        <v>2.5333333333333332</v>
      </c>
      <c r="C34" s="41">
        <v>0.21814404432132964</v>
      </c>
      <c r="D34" s="41">
        <v>9.4845236661447672</v>
      </c>
      <c r="E34" s="41">
        <v>0.1558105596952909</v>
      </c>
      <c r="F34" s="42"/>
      <c r="G34" s="42"/>
    </row>
    <row r="35" spans="1:7" x14ac:dyDescent="0.3">
      <c r="A35" s="60"/>
      <c r="B35" s="41">
        <v>2.9633333333333334</v>
      </c>
      <c r="C35" s="41">
        <v>0.15942889028635199</v>
      </c>
      <c r="D35" s="41">
        <v>6.931690882015304</v>
      </c>
      <c r="E35" s="41">
        <v>0.15676532681505367</v>
      </c>
      <c r="F35" s="42"/>
      <c r="G35" s="42"/>
    </row>
    <row r="36" spans="1:7" x14ac:dyDescent="0.3">
      <c r="A36" s="60"/>
      <c r="B36" s="41">
        <v>3.4966666666666666</v>
      </c>
      <c r="C36" s="41">
        <v>0.11450371273744753</v>
      </c>
      <c r="D36" s="41">
        <v>4.9784222929325015</v>
      </c>
      <c r="E36" s="41">
        <v>0.1574958551271764</v>
      </c>
      <c r="F36" s="42"/>
      <c r="G36" s="42"/>
    </row>
    <row r="37" spans="1:7" x14ac:dyDescent="0.3">
      <c r="A37" s="60"/>
      <c r="B37" s="41">
        <v>4.0966666666666667</v>
      </c>
      <c r="C37" s="41">
        <v>8.3419345740747233E-2</v>
      </c>
      <c r="D37" s="41">
        <v>3.6269280756846625</v>
      </c>
      <c r="E37" s="41">
        <v>0.15800131801890974</v>
      </c>
      <c r="F37" s="42"/>
      <c r="G37" s="42"/>
    </row>
    <row r="38" spans="1:7" x14ac:dyDescent="0.3">
      <c r="A38" s="60"/>
      <c r="B38" s="41">
        <v>4.6700000000000008</v>
      </c>
      <c r="C38" s="41">
        <v>6.4193975853894483E-2</v>
      </c>
      <c r="D38" s="41">
        <v>2.7910424284301949</v>
      </c>
      <c r="E38" s="41">
        <v>0.15831394175863983</v>
      </c>
      <c r="F38" s="42"/>
      <c r="G38" s="42"/>
    </row>
    <row r="39" spans="1:7" x14ac:dyDescent="0.3">
      <c r="A39" s="61"/>
      <c r="B39" s="41">
        <v>5.2633333333333328</v>
      </c>
      <c r="C39" s="41">
        <v>5.0536630835125856E-2</v>
      </c>
      <c r="D39" s="41">
        <v>2.1972448189185156</v>
      </c>
      <c r="E39" s="41">
        <v>0.15853602384599005</v>
      </c>
      <c r="F39" s="42"/>
      <c r="G39" s="42"/>
    </row>
    <row r="40" spans="1:7" x14ac:dyDescent="0.3">
      <c r="A40" s="62">
        <v>0.92700000000000005</v>
      </c>
      <c r="B40" s="41">
        <v>2.1933333333333334</v>
      </c>
      <c r="C40" s="41">
        <v>0.29101726702451008</v>
      </c>
      <c r="D40" s="41">
        <v>12.65292465323957</v>
      </c>
      <c r="E40" s="41">
        <v>0.20274102084977044</v>
      </c>
      <c r="F40" s="42"/>
      <c r="G40" s="42"/>
    </row>
    <row r="41" spans="1:7" x14ac:dyDescent="0.3">
      <c r="A41" s="62"/>
      <c r="B41" s="41">
        <v>2.5466666666666664</v>
      </c>
      <c r="C41" s="41">
        <v>0.21586579315259999</v>
      </c>
      <c r="D41" s="41">
        <v>9.3854692675043481</v>
      </c>
      <c r="E41" s="41">
        <v>0.20434332542419342</v>
      </c>
      <c r="F41" s="42"/>
      <c r="G41" s="42"/>
    </row>
    <row r="42" spans="1:7" x14ac:dyDescent="0.3">
      <c r="A42" s="62"/>
      <c r="B42" s="41">
        <v>3.0833333333333335</v>
      </c>
      <c r="C42" s="41">
        <v>0.14726077428780129</v>
      </c>
      <c r="D42" s="41">
        <v>6.4026423603391871</v>
      </c>
      <c r="E42" s="41">
        <v>0.20580605303140981</v>
      </c>
      <c r="F42" s="42"/>
      <c r="G42" s="42"/>
    </row>
    <row r="43" spans="1:7" x14ac:dyDescent="0.3">
      <c r="A43" s="62"/>
      <c r="B43" s="41">
        <v>3.563333333333333</v>
      </c>
      <c r="C43" s="41">
        <v>0.11025927556155662</v>
      </c>
      <c r="D43" s="41">
        <v>4.793881546154636</v>
      </c>
      <c r="E43" s="41">
        <v>0.20659496198575206</v>
      </c>
      <c r="F43" s="42"/>
      <c r="G43" s="42"/>
    </row>
    <row r="44" spans="1:7" x14ac:dyDescent="0.3">
      <c r="A44" s="62"/>
      <c r="B44" s="41">
        <v>4.0466666666666669</v>
      </c>
      <c r="C44" s="41">
        <v>8.5493514706241558E-2</v>
      </c>
      <c r="D44" s="41">
        <v>3.7171093350539808</v>
      </c>
      <c r="E44" s="41">
        <v>0.20712299277294824</v>
      </c>
      <c r="F44" s="42"/>
      <c r="G44" s="42"/>
    </row>
    <row r="45" spans="1:7" x14ac:dyDescent="0.3">
      <c r="A45" s="62"/>
      <c r="B45" s="41">
        <v>4.6166666666666663</v>
      </c>
      <c r="C45" s="41">
        <v>6.5685725084387928E-2</v>
      </c>
      <c r="D45" s="41">
        <v>2.855901090625562</v>
      </c>
      <c r="E45" s="41">
        <v>0.20754531465547579</v>
      </c>
      <c r="F45" s="42"/>
      <c r="G45" s="42"/>
    </row>
    <row r="46" spans="1:7" x14ac:dyDescent="0.3">
      <c r="A46" s="49"/>
      <c r="B46" s="50"/>
      <c r="C46" s="50"/>
      <c r="D46" s="50"/>
      <c r="E46" s="50"/>
      <c r="F46" s="42"/>
      <c r="G46" s="42"/>
    </row>
    <row r="47" spans="1:7" x14ac:dyDescent="0.3">
      <c r="A47" s="55" t="s">
        <v>66</v>
      </c>
      <c r="B47" s="55"/>
      <c r="C47" s="55"/>
      <c r="D47" s="55"/>
      <c r="E47" s="55"/>
      <c r="F47" s="55"/>
      <c r="G47" s="55"/>
    </row>
    <row r="48" spans="1:7" x14ac:dyDescent="0.3">
      <c r="A48" s="47" t="s">
        <v>51</v>
      </c>
      <c r="B48" s="48">
        <v>1</v>
      </c>
      <c r="C48" s="48">
        <v>2</v>
      </c>
      <c r="D48" s="48">
        <v>3</v>
      </c>
      <c r="E48" s="48">
        <v>4</v>
      </c>
      <c r="F48" s="48">
        <v>5</v>
      </c>
      <c r="G48" s="48">
        <v>6</v>
      </c>
    </row>
    <row r="49" spans="1:7" x14ac:dyDescent="0.3">
      <c r="A49" s="47" t="s">
        <v>64</v>
      </c>
      <c r="B49" s="46">
        <v>7.6999999999999999E-2</v>
      </c>
      <c r="C49" s="46">
        <v>0.10200000000000001</v>
      </c>
      <c r="D49" s="46">
        <v>0.127</v>
      </c>
      <c r="E49" s="46">
        <v>0.152</v>
      </c>
      <c r="F49" s="46">
        <v>0.17699999999999999</v>
      </c>
      <c r="G49" s="46">
        <v>0.20199999999999999</v>
      </c>
    </row>
    <row r="50" spans="1:7" ht="15" x14ac:dyDescent="0.3">
      <c r="A50" s="47" t="s">
        <v>70</v>
      </c>
      <c r="B50" s="46">
        <v>5.9290000000000002E-3</v>
      </c>
      <c r="C50" s="46">
        <v>1.0404000000000002E-2</v>
      </c>
      <c r="D50" s="46">
        <v>1.6129000000000001E-2</v>
      </c>
      <c r="E50" s="46">
        <v>2.3104E-2</v>
      </c>
      <c r="F50" s="46">
        <v>3.1328999999999996E-2</v>
      </c>
      <c r="G50" s="46">
        <v>4.0803999999999993E-2</v>
      </c>
    </row>
    <row r="51" spans="1:7" ht="15" x14ac:dyDescent="0.3">
      <c r="A51" s="47" t="s">
        <v>71</v>
      </c>
      <c r="B51" s="41">
        <v>1.5068213537674789E-2</v>
      </c>
      <c r="C51" s="41">
        <v>2.1048078241893361E-2</v>
      </c>
      <c r="D51" s="41">
        <v>3.0749652241374853E-2</v>
      </c>
      <c r="E51" s="41">
        <v>4.1675635135226742E-2</v>
      </c>
      <c r="F51" s="41">
        <v>5.3980073805964597E-2</v>
      </c>
      <c r="G51" s="41">
        <v>7.0331102837393106E-2</v>
      </c>
    </row>
  </sheetData>
  <mergeCells count="13">
    <mergeCell ref="A1:G1"/>
    <mergeCell ref="A20:E20"/>
    <mergeCell ref="A47:G47"/>
    <mergeCell ref="B2:G2"/>
    <mergeCell ref="A4:A7"/>
    <mergeCell ref="A8:A11"/>
    <mergeCell ref="A12:A15"/>
    <mergeCell ref="A16:A19"/>
    <mergeCell ref="A22:A27"/>
    <mergeCell ref="A28:A33"/>
    <mergeCell ref="A34:A39"/>
    <mergeCell ref="A40:A45"/>
    <mergeCell ref="A2:A3"/>
  </mergeCells>
  <pageMargins left="0.23622047244094491" right="0.23622047244094491" top="7.874015748031496E-2" bottom="0.15748031496062992" header="0.31496062992125984" footer="0.31496062992125984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-0.499984740745262"/>
    <pageSetUpPr fitToPage="1"/>
  </sheetPr>
  <dimension ref="A1"/>
  <sheetViews>
    <sheetView tabSelected="1" topLeftCell="A4" zoomScale="87" zoomScaleNormal="100" workbookViewId="0">
      <selection activeCell="U24" sqref="U24"/>
    </sheetView>
  </sheetViews>
  <sheetFormatPr defaultRowHeight="14.4" x14ac:dyDescent="0.3"/>
  <sheetData/>
  <pageMargins left="0.7" right="0.7" top="0.75" bottom="0.75" header="0.3" footer="0.3"/>
  <pageSetup paperSize="9" scale="81" orientation="landscape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-0.499984740745262"/>
  </sheetPr>
  <dimension ref="A1"/>
  <sheetViews>
    <sheetView zoomScaleNormal="100"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2"/>
  <sheetViews>
    <sheetView workbookViewId="0">
      <selection activeCell="E2" sqref="E2"/>
    </sheetView>
  </sheetViews>
  <sheetFormatPr defaultRowHeight="14.4" x14ac:dyDescent="0.3"/>
  <sheetData>
    <row r="1" spans="1:5" ht="15.6" x14ac:dyDescent="0.35">
      <c r="A1" s="2" t="s">
        <v>12</v>
      </c>
      <c r="B1" s="2" t="s">
        <v>13</v>
      </c>
      <c r="C1" s="2" t="s">
        <v>49</v>
      </c>
      <c r="D1" s="2" t="s">
        <v>50</v>
      </c>
      <c r="E1" s="2" t="s">
        <v>26</v>
      </c>
    </row>
    <row r="2" spans="1:5" x14ac:dyDescent="0.3">
      <c r="A2" s="12">
        <v>0.7</v>
      </c>
      <c r="B2" s="12">
        <v>4.5999999999999999E-2</v>
      </c>
      <c r="C2" s="2">
        <v>5.7000000000000002E-2</v>
      </c>
      <c r="D2" s="2">
        <v>2.5000000000000001E-2</v>
      </c>
      <c r="E2" s="2">
        <v>0.04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4"/>
  <sheetViews>
    <sheetView workbookViewId="0">
      <selection activeCell="N3" sqref="N3"/>
    </sheetView>
  </sheetViews>
  <sheetFormatPr defaultRowHeight="14.4" x14ac:dyDescent="0.3"/>
  <cols>
    <col min="1" max="1" width="9.5546875" bestFit="1" customWidth="1"/>
    <col min="2" max="2" width="17" bestFit="1" customWidth="1"/>
    <col min="9" max="9" width="9.109375" customWidth="1"/>
    <col min="10" max="10" width="12" customWidth="1"/>
    <col min="11" max="11" width="19.33203125" customWidth="1"/>
    <col min="12" max="12" width="18.44140625" customWidth="1"/>
    <col min="13" max="13" width="18.5546875" customWidth="1"/>
    <col min="14" max="14" width="14.5546875" customWidth="1"/>
  </cols>
  <sheetData>
    <row r="1" spans="1:14" ht="45.6" thickTop="1" thickBot="1" x14ac:dyDescent="0.35">
      <c r="A1" s="7" t="s">
        <v>15</v>
      </c>
      <c r="B1" s="7" t="s">
        <v>14</v>
      </c>
      <c r="C1" s="3"/>
      <c r="D1" s="3"/>
      <c r="E1" s="3"/>
      <c r="F1" s="3"/>
      <c r="G1" s="3"/>
      <c r="H1" s="7" t="s">
        <v>16</v>
      </c>
      <c r="I1" s="7" t="s">
        <v>17</v>
      </c>
      <c r="J1" s="7" t="s">
        <v>18</v>
      </c>
      <c r="K1" s="7" t="s">
        <v>19</v>
      </c>
      <c r="L1" s="7" t="s">
        <v>20</v>
      </c>
      <c r="M1" s="7" t="s">
        <v>21</v>
      </c>
      <c r="N1" s="7" t="s">
        <v>22</v>
      </c>
    </row>
    <row r="2" spans="1:14" ht="15" thickTop="1" x14ac:dyDescent="0.3">
      <c r="A2" s="18">
        <f>'Таблица 1'!B3</f>
        <v>4.54</v>
      </c>
      <c r="B2">
        <f>(A2-$H$2)*(A2-$H$2)</f>
        <v>6.9444444444443955E-3</v>
      </c>
      <c r="H2">
        <f>SUM(A:A)/COUNT(A:A)</f>
        <v>4.456666666666667</v>
      </c>
      <c r="I2">
        <f>SQRT(SUM(B:B)/COUNT(A:A)/(COUNT(A:A)-1))</f>
        <v>4.6308146631499382E-2</v>
      </c>
      <c r="J2">
        <v>4.3</v>
      </c>
      <c r="K2">
        <f>J2*I2</f>
        <v>0.19912503051544733</v>
      </c>
      <c r="L2">
        <v>1</v>
      </c>
      <c r="M2">
        <f>SQRT(K2*K2+(2/3*L2)*(2/3*L2))</f>
        <v>0.69576951803181364</v>
      </c>
      <c r="N2" s="31">
        <f>M2/H2</f>
        <v>0.15611881481641293</v>
      </c>
    </row>
    <row r="3" spans="1:14" x14ac:dyDescent="0.3">
      <c r="A3" s="18">
        <f>'Таблица 1'!B4</f>
        <v>4.38</v>
      </c>
      <c r="B3">
        <f t="shared" ref="B3:B4" si="0">(A3-$H$2)*(A3-$H$2)</f>
        <v>5.8777777777778446E-3</v>
      </c>
    </row>
    <row r="4" spans="1:14" x14ac:dyDescent="0.3">
      <c r="A4" s="18">
        <f>'Таблица 1'!B5</f>
        <v>4.45</v>
      </c>
      <c r="B4">
        <f t="shared" si="0"/>
        <v>4.44444444444465E-5</v>
      </c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N7"/>
  <sheetViews>
    <sheetView workbookViewId="0">
      <selection activeCell="G20" sqref="G20"/>
    </sheetView>
  </sheetViews>
  <sheetFormatPr defaultRowHeight="14.4" x14ac:dyDescent="0.3"/>
  <cols>
    <col min="1" max="1" width="9.5546875" bestFit="1" customWidth="1"/>
    <col min="2" max="2" width="17" bestFit="1" customWidth="1"/>
    <col min="9" max="9" width="9.109375" customWidth="1"/>
    <col min="10" max="10" width="12" customWidth="1"/>
    <col min="11" max="11" width="19.33203125" customWidth="1"/>
    <col min="12" max="12" width="18.44140625" customWidth="1"/>
    <col min="13" max="13" width="18.5546875" customWidth="1"/>
    <col min="14" max="14" width="14.5546875" customWidth="1"/>
  </cols>
  <sheetData>
    <row r="1" spans="1:14" ht="45.6" thickTop="1" thickBot="1" x14ac:dyDescent="0.35">
      <c r="A1" s="7" t="s">
        <v>15</v>
      </c>
      <c r="B1" s="7" t="s">
        <v>14</v>
      </c>
      <c r="C1" s="3"/>
      <c r="D1" s="3"/>
      <c r="E1" s="3"/>
      <c r="F1" s="3"/>
      <c r="G1" s="3"/>
      <c r="H1" s="7" t="s">
        <v>16</v>
      </c>
      <c r="I1" s="7" t="s">
        <v>17</v>
      </c>
      <c r="J1" s="7" t="s">
        <v>18</v>
      </c>
      <c r="K1" s="7" t="s">
        <v>19</v>
      </c>
      <c r="L1" s="7" t="s">
        <v>20</v>
      </c>
      <c r="M1" s="7" t="s">
        <v>21</v>
      </c>
      <c r="N1" s="7" t="s">
        <v>22</v>
      </c>
    </row>
    <row r="2" spans="1:14" ht="15" thickTop="1" x14ac:dyDescent="0.3">
      <c r="A2" s="18">
        <f>'Таблица 2'!C3</f>
        <v>7.0486789600848962E-2</v>
      </c>
      <c r="B2" s="18">
        <f>(A2-$H$2)*(A2-$H$2)</f>
        <v>1.0785303312918057E-3</v>
      </c>
      <c r="H2" s="18">
        <f>SUM(A:A)/COUNT(A:A)</f>
        <v>3.7645804060037223E-2</v>
      </c>
      <c r="I2" s="18">
        <f>SQRT(SUM(B:B)/COUNT(A:A)/(COUNT(A:A)-1))</f>
        <v>8.3912499210283906E-3</v>
      </c>
      <c r="J2" s="18">
        <v>0.95</v>
      </c>
      <c r="K2" s="18">
        <f>J2*I2</f>
        <v>7.9716874249769702E-3</v>
      </c>
      <c r="L2" s="18">
        <v>1</v>
      </c>
      <c r="M2" s="18">
        <f>SQRT(K2*K2+(2/3*L2)*(2/3*L2))</f>
        <v>0.66671432581342205</v>
      </c>
      <c r="N2" s="31">
        <f>M2/H2</f>
        <v>17.710189553931468</v>
      </c>
    </row>
    <row r="3" spans="1:14" x14ac:dyDescent="0.3">
      <c r="A3" s="18">
        <f>'Таблица 2'!C4</f>
        <v>5.1708833305084974E-2</v>
      </c>
      <c r="B3" s="18">
        <f t="shared" ref="B3:B7" si="0">(A3-$H$2)*(A3-$H$2)</f>
        <v>1.9776879154706831E-4</v>
      </c>
    </row>
    <row r="4" spans="1:14" x14ac:dyDescent="0.3">
      <c r="A4" s="18">
        <f>'Таблица 2'!C5</f>
        <v>3.8417902010567363E-2</v>
      </c>
      <c r="B4" s="18">
        <f t="shared" si="0"/>
        <v>5.961352452128426E-7</v>
      </c>
    </row>
    <row r="5" spans="1:14" x14ac:dyDescent="0.3">
      <c r="A5" s="18">
        <f>'Таблица 2'!C6</f>
        <v>2.8462895227630864E-2</v>
      </c>
      <c r="B5" s="18">
        <f>(A5-$H$2)*(A5-$H$2)</f>
        <v>8.4325814624286718E-5</v>
      </c>
    </row>
    <row r="6" spans="1:14" x14ac:dyDescent="0.3">
      <c r="A6" s="18">
        <f>'Таблица 2'!C7</f>
        <v>2.0669423574068146E-2</v>
      </c>
      <c r="B6" s="18">
        <f t="shared" si="0"/>
        <v>2.8819749440439169E-4</v>
      </c>
    </row>
    <row r="7" spans="1:14" x14ac:dyDescent="0.3">
      <c r="A7" s="18">
        <f>'Таблица 2'!C8</f>
        <v>1.6128980642023026E-2</v>
      </c>
      <c r="B7" s="18">
        <f t="shared" si="0"/>
        <v>4.6297369000200414E-4</v>
      </c>
    </row>
  </sheetData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G9"/>
  <sheetViews>
    <sheetView workbookViewId="0">
      <selection activeCell="B2" sqref="B2"/>
    </sheetView>
  </sheetViews>
  <sheetFormatPr defaultRowHeight="14.4" x14ac:dyDescent="0.3"/>
  <cols>
    <col min="1" max="1" width="26.33203125" customWidth="1"/>
  </cols>
  <sheetData>
    <row r="1" spans="1:7" x14ac:dyDescent="0.3">
      <c r="A1" s="32" t="s">
        <v>42</v>
      </c>
      <c r="B1" t="s">
        <v>27</v>
      </c>
    </row>
    <row r="2" spans="1:7" ht="43.2" x14ac:dyDescent="0.3">
      <c r="A2" s="32" t="s">
        <v>38</v>
      </c>
      <c r="B2" s="28">
        <f>-4*'Параметры установки'!A2/'Погрешности прямые (t)'!H2/'Погрешности прямые (t)'!H2/'Погрешности прямые (t)'!H2</f>
        <v>-3.1632067135758696E-2</v>
      </c>
      <c r="C2" s="28"/>
      <c r="D2" s="28"/>
      <c r="E2" s="28"/>
      <c r="F2" s="28"/>
      <c r="G2" s="28"/>
    </row>
    <row r="3" spans="1:7" ht="28.8" x14ac:dyDescent="0.3">
      <c r="A3" s="32" t="s">
        <v>41</v>
      </c>
      <c r="B3" s="30">
        <f>'Погрешности прямые (t)'!H2</f>
        <v>4.456666666666667</v>
      </c>
      <c r="C3" s="28"/>
      <c r="D3" s="28"/>
      <c r="E3" s="28"/>
      <c r="F3" s="28"/>
      <c r="G3" s="28"/>
    </row>
    <row r="4" spans="1:7" x14ac:dyDescent="0.3">
      <c r="A4" s="32" t="s">
        <v>40</v>
      </c>
      <c r="B4" s="18">
        <f>2*'Параметры установки'!A2/'Погрешности прямые (t)'!H2/'Погрешности прямые (t)'!H2</f>
        <v>7.0486789600848962E-2</v>
      </c>
    </row>
    <row r="5" spans="1:7" ht="28.8" x14ac:dyDescent="0.3">
      <c r="A5" s="32" t="s">
        <v>43</v>
      </c>
      <c r="B5" s="18">
        <f>'Погрешности прямые (t)'!M2</f>
        <v>0.69576951803181364</v>
      </c>
    </row>
    <row r="6" spans="1:7" ht="28.8" x14ac:dyDescent="0.3">
      <c r="A6" s="32" t="s">
        <v>46</v>
      </c>
      <c r="B6" s="31">
        <f>'Погрешности прямые (t)'!N2</f>
        <v>0.15611881481641293</v>
      </c>
    </row>
    <row r="7" spans="1:7" x14ac:dyDescent="0.3">
      <c r="A7" s="32" t="s">
        <v>44</v>
      </c>
      <c r="B7">
        <f>B5*B5*B2*B2</f>
        <v>4.8437971108166187E-4</v>
      </c>
    </row>
    <row r="8" spans="1:7" ht="28.8" x14ac:dyDescent="0.3">
      <c r="A8" s="32" t="s">
        <v>39</v>
      </c>
      <c r="B8">
        <f>SQRT(SUM(7:7))</f>
        <v>2.2008628105396798E-2</v>
      </c>
    </row>
    <row r="9" spans="1:7" ht="28.8" x14ac:dyDescent="0.3">
      <c r="A9" s="32" t="s">
        <v>47</v>
      </c>
      <c r="B9" s="31">
        <f>B8/B4</f>
        <v>0.31223762963282581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N8"/>
  <sheetViews>
    <sheetView workbookViewId="0">
      <selection activeCell="H5" sqref="H5"/>
    </sheetView>
  </sheetViews>
  <sheetFormatPr defaultRowHeight="14.4" x14ac:dyDescent="0.3"/>
  <cols>
    <col min="1" max="1" width="9.5546875" bestFit="1" customWidth="1"/>
    <col min="2" max="2" width="17" bestFit="1" customWidth="1"/>
    <col min="9" max="9" width="9.109375" customWidth="1"/>
    <col min="10" max="10" width="12" customWidth="1"/>
    <col min="11" max="11" width="19.33203125" customWidth="1"/>
    <col min="12" max="12" width="18.44140625" customWidth="1"/>
    <col min="13" max="13" width="18.5546875" customWidth="1"/>
    <col min="14" max="14" width="14.5546875" customWidth="1"/>
  </cols>
  <sheetData>
    <row r="1" spans="1:14" ht="45.6" thickTop="1" thickBot="1" x14ac:dyDescent="0.35">
      <c r="A1" s="7" t="s">
        <v>15</v>
      </c>
      <c r="B1" s="7" t="s">
        <v>14</v>
      </c>
      <c r="C1" s="3"/>
      <c r="D1" s="3"/>
      <c r="E1" s="3"/>
      <c r="F1" s="3"/>
      <c r="G1" s="3"/>
      <c r="H1" s="7" t="s">
        <v>16</v>
      </c>
      <c r="I1" s="7" t="s">
        <v>17</v>
      </c>
      <c r="J1" s="7" t="s">
        <v>18</v>
      </c>
      <c r="K1" s="7" t="s">
        <v>19</v>
      </c>
      <c r="L1" s="7" t="s">
        <v>20</v>
      </c>
      <c r="M1" s="7" t="s">
        <v>21</v>
      </c>
      <c r="N1" s="7" t="s">
        <v>22</v>
      </c>
    </row>
    <row r="2" spans="1:14" ht="15" thickTop="1" x14ac:dyDescent="0.3">
      <c r="A2" s="18">
        <f>'Таблица 2'!D3</f>
        <v>3.0646430261238677</v>
      </c>
      <c r="B2" s="18">
        <f>(A2-$H$2)*(A2-$H$2)</f>
        <v>2.0388096999845096</v>
      </c>
      <c r="H2" s="18">
        <f>SUM(A:A)/COUNT(A:A)</f>
        <v>1.6367740895668357</v>
      </c>
      <c r="I2" s="18">
        <f>SQRT(SUM(B:B)/COUNT(A:A)/(COUNT(A:A)-1))</f>
        <v>0.36483695308819092</v>
      </c>
      <c r="J2" s="18">
        <v>0.95</v>
      </c>
      <c r="K2" s="18">
        <f>J2*I2</f>
        <v>0.34659510543378136</v>
      </c>
      <c r="L2" s="18">
        <v>1</v>
      </c>
      <c r="M2" s="18">
        <f>SQRT(K2*K2+(2/3*L2)*(2/3*L2))</f>
        <v>0.75138047057073454</v>
      </c>
      <c r="N2" s="31">
        <f>M2/H2</f>
        <v>0.4590618066110661</v>
      </c>
    </row>
    <row r="3" spans="1:14" x14ac:dyDescent="0.3">
      <c r="A3" s="18">
        <f>'Таблица 2'!D4</f>
        <v>2.2482101436993469</v>
      </c>
      <c r="B3" s="18">
        <f t="shared" ref="B3:B7" si="0">(A3-$H$2)*(A3-$H$2)</f>
        <v>0.37385404829313518</v>
      </c>
    </row>
    <row r="4" spans="1:14" x14ac:dyDescent="0.3">
      <c r="A4" s="18">
        <f>'Таблица 2'!D5</f>
        <v>1.6703435656768419</v>
      </c>
      <c r="B4" s="18">
        <f t="shared" si="0"/>
        <v>1.1269097263002816E-3</v>
      </c>
    </row>
    <row r="5" spans="1:14" x14ac:dyDescent="0.3">
      <c r="A5" s="18">
        <f>'Таблица 2'!D6</f>
        <v>1.2375171838100376</v>
      </c>
      <c r="B5" s="18">
        <f t="shared" si="0"/>
        <v>0.15940607679449273</v>
      </c>
    </row>
    <row r="6" spans="1:14" x14ac:dyDescent="0.3">
      <c r="A6" s="18">
        <f>'Таблица 2'!D7</f>
        <v>0.89867059017687589</v>
      </c>
      <c r="B6" s="18">
        <f t="shared" si="0"/>
        <v>0.54479677581170438</v>
      </c>
    </row>
    <row r="7" spans="1:14" x14ac:dyDescent="0.3">
      <c r="A7" s="18">
        <f>'Таблица 2'!D8</f>
        <v>0.70126002791404463</v>
      </c>
      <c r="B7" s="18">
        <f t="shared" si="0"/>
        <v>0.87518655955010216</v>
      </c>
    </row>
    <row r="8" spans="1:14" x14ac:dyDescent="0.3">
      <c r="A8" s="18"/>
      <c r="B8" s="18"/>
    </row>
  </sheetData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G9"/>
  <sheetViews>
    <sheetView workbookViewId="0">
      <selection activeCell="B8" sqref="B8"/>
    </sheetView>
  </sheetViews>
  <sheetFormatPr defaultRowHeight="14.4" x14ac:dyDescent="0.3"/>
  <cols>
    <col min="1" max="1" width="26.33203125" customWidth="1"/>
  </cols>
  <sheetData>
    <row r="1" spans="1:7" x14ac:dyDescent="0.3">
      <c r="A1" s="32" t="s">
        <v>42</v>
      </c>
      <c r="B1" s="29" t="s">
        <v>45</v>
      </c>
    </row>
    <row r="2" spans="1:7" ht="43.2" x14ac:dyDescent="0.3">
      <c r="A2" s="32" t="s">
        <v>38</v>
      </c>
      <c r="B2" s="28">
        <f>-8*'Параметры установки'!A2/'Параметры установки'!B2/'Погрешности прямые (t)'!H2/'Погрешности прямые (t)'!H2/'Погрешности прямые (t)'!H2</f>
        <v>-1.3753072667721173</v>
      </c>
      <c r="C2" s="28"/>
      <c r="D2" s="28"/>
      <c r="E2" s="28"/>
      <c r="F2" s="28"/>
      <c r="G2" s="28"/>
    </row>
    <row r="3" spans="1:7" ht="28.8" x14ac:dyDescent="0.3">
      <c r="A3" s="32" t="s">
        <v>41</v>
      </c>
      <c r="B3" s="30">
        <f>'Погрешности прямые (t)'!H2</f>
        <v>4.456666666666667</v>
      </c>
      <c r="C3" s="28"/>
      <c r="D3" s="28"/>
      <c r="E3" s="28"/>
      <c r="F3" s="28"/>
      <c r="G3" s="28"/>
    </row>
    <row r="4" spans="1:7" x14ac:dyDescent="0.3">
      <c r="A4" s="32" t="s">
        <v>40</v>
      </c>
      <c r="B4">
        <f>4*'Параметры установки'!A2/'Параметры установки'!B2/'Погрешности прямые (t)'!H2/'Погрешности прямые (t)'!H2</f>
        <v>3.0646430261238682</v>
      </c>
    </row>
    <row r="5" spans="1:7" ht="28.8" x14ac:dyDescent="0.3">
      <c r="A5" s="32" t="s">
        <v>43</v>
      </c>
      <c r="B5" s="18">
        <f>'Погрешности прямые (t)'!M2</f>
        <v>0.69576951803181364</v>
      </c>
    </row>
    <row r="6" spans="1:7" ht="28.8" x14ac:dyDescent="0.3">
      <c r="A6" s="32" t="s">
        <v>46</v>
      </c>
      <c r="B6" s="31">
        <f>'Погрешности прямые (t)'!N2</f>
        <v>0.15611881481641293</v>
      </c>
    </row>
    <row r="7" spans="1:7" x14ac:dyDescent="0.3">
      <c r="A7" s="32" t="s">
        <v>44</v>
      </c>
      <c r="B7">
        <f>B5*B5*B2*B2</f>
        <v>0.91565162775361442</v>
      </c>
    </row>
    <row r="8" spans="1:7" ht="28.8" x14ac:dyDescent="0.3">
      <c r="A8" s="32" t="s">
        <v>39</v>
      </c>
      <c r="B8">
        <f>SQRT(SUM(7:7))</f>
        <v>0.95689687414768709</v>
      </c>
    </row>
    <row r="9" spans="1:7" ht="28.8" x14ac:dyDescent="0.3">
      <c r="A9" s="32" t="s">
        <v>47</v>
      </c>
      <c r="B9" s="31">
        <f>B8/B4</f>
        <v>0.31223762963282586</v>
      </c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N7"/>
  <sheetViews>
    <sheetView workbookViewId="0">
      <selection activeCell="N2" sqref="N2"/>
    </sheetView>
  </sheetViews>
  <sheetFormatPr defaultRowHeight="14.4" x14ac:dyDescent="0.3"/>
  <cols>
    <col min="1" max="1" width="9.5546875" bestFit="1" customWidth="1"/>
    <col min="2" max="2" width="17" bestFit="1" customWidth="1"/>
    <col min="9" max="9" width="9.109375" customWidth="1"/>
    <col min="10" max="10" width="12" customWidth="1"/>
    <col min="11" max="11" width="19.33203125" customWidth="1"/>
    <col min="12" max="12" width="18.44140625" customWidth="1"/>
    <col min="13" max="13" width="18.5546875" customWidth="1"/>
    <col min="14" max="14" width="14.5546875" customWidth="1"/>
  </cols>
  <sheetData>
    <row r="1" spans="1:14" ht="45.6" thickTop="1" thickBot="1" x14ac:dyDescent="0.35">
      <c r="A1" s="7" t="s">
        <v>15</v>
      </c>
      <c r="B1" s="7" t="s">
        <v>14</v>
      </c>
      <c r="C1" s="3"/>
      <c r="D1" s="3"/>
      <c r="E1" s="3"/>
      <c r="F1" s="3"/>
      <c r="G1" s="3"/>
      <c r="H1" s="7" t="s">
        <v>16</v>
      </c>
      <c r="I1" s="7" t="s">
        <v>17</v>
      </c>
      <c r="J1" s="7" t="s">
        <v>18</v>
      </c>
      <c r="K1" s="7" t="s">
        <v>19</v>
      </c>
      <c r="L1" s="7" t="s">
        <v>20</v>
      </c>
      <c r="M1" s="7" t="s">
        <v>21</v>
      </c>
      <c r="N1" s="7" t="s">
        <v>22</v>
      </c>
    </row>
    <row r="2" spans="1:14" ht="15" thickTop="1" x14ac:dyDescent="0.3">
      <c r="A2" s="18">
        <f>'Таблица 2'!E3</f>
        <v>5.9748940625061191E-2</v>
      </c>
      <c r="B2" s="18">
        <f>(A2-$H$2)*(A2-$H$2)</f>
        <v>4.0673407508568359E-8</v>
      </c>
      <c r="H2" s="18">
        <f>SUM(A:A)/COUNT(A:A)</f>
        <v>5.9950617117267319E-2</v>
      </c>
      <c r="I2" s="18">
        <f>SQRT(SUM(B:B)/COUNT(A:A)/(COUNT(A:A)-1))</f>
        <v>5.1530665765036128E-5</v>
      </c>
      <c r="J2" s="18">
        <v>0.95</v>
      </c>
      <c r="K2" s="18">
        <f>J2*I2</f>
        <v>4.8954132476784323E-5</v>
      </c>
      <c r="L2" s="18">
        <v>1</v>
      </c>
      <c r="M2" s="18">
        <f>SQRT(K2*K2+(2/3*L2)*(2/3*L2))</f>
        <v>0.66666666846404699</v>
      </c>
      <c r="N2" s="31">
        <f>M2/H2</f>
        <v>11.120263652332444</v>
      </c>
    </row>
    <row r="3" spans="1:14" x14ac:dyDescent="0.3">
      <c r="A3" s="18">
        <f>'Таблица 2'!E4</f>
        <v>5.9864256054673486E-2</v>
      </c>
      <c r="B3" s="18">
        <f t="shared" ref="B3:B7" si="0">(A3-$H$2)*(A3-$H$2)</f>
        <v>7.4582331323359373E-9</v>
      </c>
    </row>
    <row r="4" spans="1:14" x14ac:dyDescent="0.3">
      <c r="A4" s="18">
        <f>'Таблица 2'!E5</f>
        <v>5.9945875663753118E-2</v>
      </c>
      <c r="B4" s="18">
        <f t="shared" si="0"/>
        <v>2.2481381427328692E-11</v>
      </c>
    </row>
    <row r="5" spans="1:14" x14ac:dyDescent="0.3">
      <c r="A5" s="18">
        <f>'Таблица 2'!E6</f>
        <v>6.0007009360407135E-2</v>
      </c>
      <c r="B5" s="18">
        <f t="shared" si="0"/>
        <v>3.1800850863401437E-9</v>
      </c>
    </row>
    <row r="6" spans="1:14" x14ac:dyDescent="0.3">
      <c r="A6" s="18">
        <f>'Таблица 2'!E7</f>
        <v>6.0054869069831658E-2</v>
      </c>
      <c r="B6" s="18">
        <f t="shared" si="0"/>
        <v>1.0868469613477304E-8</v>
      </c>
    </row>
    <row r="7" spans="1:14" x14ac:dyDescent="0.3">
      <c r="A7" s="18">
        <f>'Таблица 2'!E8</f>
        <v>6.0082751929877345E-2</v>
      </c>
      <c r="B7" s="18">
        <f t="shared" si="0"/>
        <v>1.7459608703486925E-8</v>
      </c>
    </row>
  </sheetData>
  <pageMargins left="0.7" right="0.7" top="0.75" bottom="0.75" header="0.3" footer="0.3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G9"/>
  <sheetViews>
    <sheetView workbookViewId="0">
      <selection activeCell="B9" sqref="B9"/>
    </sheetView>
  </sheetViews>
  <sheetFormatPr defaultRowHeight="14.4" x14ac:dyDescent="0.3"/>
  <cols>
    <col min="1" max="1" width="26.33203125" customWidth="1"/>
  </cols>
  <sheetData>
    <row r="1" spans="1:7" x14ac:dyDescent="0.3">
      <c r="A1" s="32" t="s">
        <v>42</v>
      </c>
      <c r="B1" t="s">
        <v>48</v>
      </c>
    </row>
    <row r="2" spans="1:7" ht="43.2" x14ac:dyDescent="0.3">
      <c r="A2" s="32" t="s">
        <v>38</v>
      </c>
      <c r="B2" s="28">
        <f>2*'Таблица 2'!A3*'Параметры установки'!B2*'Параметры установки'!A2/'Погрешности прямые (t)'!H2/'Погрешности прямые (t)'!H2/'Погрешности прямые (t)'!H2</f>
        <v>1.9425252428069414E-4</v>
      </c>
      <c r="C2" s="28"/>
      <c r="D2" s="28"/>
      <c r="E2" s="28"/>
      <c r="F2" s="28"/>
      <c r="G2" s="28"/>
    </row>
    <row r="3" spans="1:7" ht="28.8" x14ac:dyDescent="0.3">
      <c r="A3" s="32" t="s">
        <v>41</v>
      </c>
      <c r="B3" s="30">
        <f>'Погрешности прямые (t)'!H2</f>
        <v>4.456666666666667</v>
      </c>
      <c r="C3" s="28"/>
      <c r="D3" s="28"/>
      <c r="E3" s="28"/>
      <c r="F3" s="28"/>
      <c r="G3" s="28"/>
    </row>
    <row r="4" spans="1:7" x14ac:dyDescent="0.3">
      <c r="A4" s="32" t="s">
        <v>40</v>
      </c>
      <c r="B4">
        <f>'Таблица 2'!A3*'Параметры установки'!B2/2*(9.82-2*'Параметры установки'!A2/'Погрешности прямые (t)'!H2/'Погрешности прямые (t)'!H2)</f>
        <v>5.9871760625061193E-2</v>
      </c>
    </row>
    <row r="5" spans="1:7" ht="28.8" x14ac:dyDescent="0.3">
      <c r="A5" s="32" t="s">
        <v>43</v>
      </c>
      <c r="B5">
        <f>'Погрешности прямые (t)'!M2</f>
        <v>0.69576951803181364</v>
      </c>
    </row>
    <row r="6" spans="1:7" ht="28.8" x14ac:dyDescent="0.3">
      <c r="A6" s="32" t="s">
        <v>46</v>
      </c>
      <c r="B6" s="31">
        <f>'Погрешности прямые (t)'!N2</f>
        <v>0.15611881481641293</v>
      </c>
    </row>
    <row r="7" spans="1:7" x14ac:dyDescent="0.3">
      <c r="A7" s="32" t="s">
        <v>44</v>
      </c>
      <c r="B7">
        <f>B5*B5*B2*B2</f>
        <v>1.8266870023126013E-8</v>
      </c>
    </row>
    <row r="8" spans="1:7" ht="28.8" x14ac:dyDescent="0.3">
      <c r="A8" s="32" t="s">
        <v>39</v>
      </c>
      <c r="B8">
        <f>SQRT(SUM(7:7))</f>
        <v>1.3515498519524173E-4</v>
      </c>
    </row>
    <row r="9" spans="1:7" ht="28.8" x14ac:dyDescent="0.3">
      <c r="A9" s="32" t="s">
        <v>47</v>
      </c>
      <c r="B9" s="31">
        <f>B8/B3</f>
        <v>3.0326473865798442E-5</v>
      </c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R23"/>
  <sheetViews>
    <sheetView zoomScaleNormal="100" workbookViewId="0">
      <selection activeCell="M3" sqref="M3"/>
    </sheetView>
  </sheetViews>
  <sheetFormatPr defaultRowHeight="14.4" x14ac:dyDescent="0.3"/>
  <cols>
    <col min="1" max="1" width="9" bestFit="1" customWidth="1"/>
    <col min="2" max="2" width="9.44140625" bestFit="1" customWidth="1"/>
    <col min="3" max="3" width="9" bestFit="1" customWidth="1"/>
    <col min="4" max="4" width="9.6640625" customWidth="1"/>
    <col min="5" max="5" width="9" bestFit="1" customWidth="1"/>
    <col min="6" max="6" width="10.109375" bestFit="1" customWidth="1"/>
    <col min="7" max="7" width="15.5546875" customWidth="1"/>
    <col min="8" max="10" width="9" bestFit="1" customWidth="1"/>
    <col min="12" max="12" width="9" bestFit="1" customWidth="1"/>
    <col min="13" max="14" width="9.44140625" bestFit="1" customWidth="1"/>
    <col min="15" max="18" width="9" bestFit="1" customWidth="1"/>
  </cols>
  <sheetData>
    <row r="1" spans="1:18" ht="46.8" thickTop="1" thickBot="1" x14ac:dyDescent="0.35">
      <c r="A1" s="4" t="s">
        <v>23</v>
      </c>
      <c r="B1" s="5" t="s">
        <v>24</v>
      </c>
      <c r="C1" s="6" t="s">
        <v>28</v>
      </c>
      <c r="D1" s="26" t="s">
        <v>29</v>
      </c>
      <c r="E1" s="25" t="s">
        <v>30</v>
      </c>
      <c r="F1" s="26" t="s">
        <v>31</v>
      </c>
      <c r="G1" s="7" t="s">
        <v>32</v>
      </c>
      <c r="H1" s="11" t="s">
        <v>13</v>
      </c>
      <c r="I1" s="10" t="s">
        <v>36</v>
      </c>
      <c r="J1" s="9" t="s">
        <v>37</v>
      </c>
      <c r="L1" s="7" t="s">
        <v>16</v>
      </c>
      <c r="M1" s="7" t="s">
        <v>25</v>
      </c>
      <c r="N1" s="8" t="s">
        <v>26</v>
      </c>
      <c r="O1" s="8" t="s">
        <v>27</v>
      </c>
      <c r="P1" s="8" t="s">
        <v>33</v>
      </c>
      <c r="Q1" s="8" t="s">
        <v>34</v>
      </c>
      <c r="R1" s="8" t="s">
        <v>35</v>
      </c>
    </row>
    <row r="2" spans="1:18" ht="15.6" thickTop="1" thickBot="1" x14ac:dyDescent="0.35">
      <c r="A2" s="13">
        <f>'Таблица 2'!D3</f>
        <v>3.0646430261238677</v>
      </c>
      <c r="B2" s="14">
        <f>'Таблица 2'!E3</f>
        <v>5.9748940625061191E-2</v>
      </c>
      <c r="C2" s="38">
        <f>(A2-$L$2)*(A2-$L$2)</f>
        <v>14.044335516986473</v>
      </c>
      <c r="D2" s="37">
        <f>(B2-$M$2)*(B2-$M$2)</f>
        <v>5.220156533816825E-3</v>
      </c>
      <c r="E2" s="16">
        <f>A2-$L$2</f>
        <v>-3.7475772863259902</v>
      </c>
      <c r="F2" s="14">
        <f>B2-$M$2</f>
        <v>-7.2250650750126988E-2</v>
      </c>
      <c r="G2" s="39">
        <f>E2*F2</f>
        <v>0.27076489767344775</v>
      </c>
      <c r="H2" s="18">
        <f>B2-($O$2+$N$2*A2)</f>
        <v>-1.1733495481726343E-2</v>
      </c>
      <c r="I2" s="36">
        <f>H2*H2</f>
        <v>1.3767491621969249E-4</v>
      </c>
      <c r="J2" s="24">
        <f>SQRT(4*$R$2+4*$Q$2*A2*A2)</f>
        <v>4.001957435713005E-2</v>
      </c>
      <c r="K2" s="18"/>
      <c r="L2" s="18">
        <f>SUM(A:A)/COUNT(A:A)</f>
        <v>6.8122203124498579</v>
      </c>
      <c r="M2" s="18">
        <f>SUM(B:B)/COUNT(B:B)</f>
        <v>0.13199959137518819</v>
      </c>
      <c r="N2" s="18">
        <f>SUM(G:G)/SUM(C:C)</f>
        <v>1.6148340819871338E-2</v>
      </c>
      <c r="O2" s="18">
        <f>M2-N2*L2</f>
        <v>2.1993536029697461E-2</v>
      </c>
      <c r="P2" s="18">
        <f>SUM(C:C)</f>
        <v>41.94852495159212</v>
      </c>
      <c r="Q2" s="35">
        <f>1/P2*SUM(I:I)/(COUNT(I:I)-2)</f>
        <v>6.0404085384119046E-6</v>
      </c>
      <c r="R2" s="35">
        <f>(1/COUNT(I:I)+L2*L2/P2)*SUM(I:I)/(COUNT(I:I)-2)</f>
        <v>3.43659843183114E-4</v>
      </c>
    </row>
    <row r="3" spans="1:18" ht="16.8" thickTop="1" thickBot="1" x14ac:dyDescent="0.35">
      <c r="A3" s="13">
        <f>'Таблица 2'!D9</f>
        <v>5.0844970778668914</v>
      </c>
      <c r="B3" s="14">
        <f>'Таблица 2'!E9</f>
        <v>0.1084599166093087</v>
      </c>
      <c r="C3" s="38">
        <f t="shared" ref="C3:C5" si="0">(A3-$L$2)*(A3-$L$2)</f>
        <v>2.9850275753178281</v>
      </c>
      <c r="D3" s="37">
        <f t="shared" ref="D3:D5" si="1">(B3-$M$2)*(B3-$M$2)</f>
        <v>5.5411628808338322E-4</v>
      </c>
      <c r="E3" s="20">
        <f>A3-$L$2</f>
        <v>-1.7277232345829665</v>
      </c>
      <c r="F3" s="14">
        <f>B3-$M$2</f>
        <v>-2.3539674765879481E-2</v>
      </c>
      <c r="G3" s="39">
        <f>E3*F3</f>
        <v>4.067004302753633E-2</v>
      </c>
      <c r="H3" s="18">
        <f>B3-($O$2+$N$2*A3)</f>
        <v>4.3601888685767809E-3</v>
      </c>
      <c r="I3" s="37">
        <f>H3*H3</f>
        <v>1.9011246969660869E-5</v>
      </c>
      <c r="J3" s="17">
        <f t="shared" ref="J3:J5" si="2">SQRT(4*$R$2+4*$Q$2*A3*A3)</f>
        <v>4.4713181608725255E-2</v>
      </c>
      <c r="K3" s="27"/>
      <c r="L3" s="18"/>
      <c r="M3" s="18"/>
      <c r="N3" s="34" t="s">
        <v>54</v>
      </c>
      <c r="O3" s="34" t="s">
        <v>55</v>
      </c>
      <c r="P3" s="18"/>
      <c r="Q3" s="34" t="s">
        <v>58</v>
      </c>
      <c r="R3" s="34" t="s">
        <v>59</v>
      </c>
    </row>
    <row r="4" spans="1:18" ht="15.6" thickTop="1" thickBot="1" x14ac:dyDescent="0.35">
      <c r="A4" s="13">
        <f>'Таблица 2'!D15</f>
        <v>7.3216757921283291</v>
      </c>
      <c r="B4" s="14">
        <f>'Таблица 2'!E15</f>
        <v>0.15661947128871664</v>
      </c>
      <c r="C4" s="38">
        <f t="shared" si="0"/>
        <v>0.25954488577442114</v>
      </c>
      <c r="D4" s="37">
        <f t="shared" si="1"/>
        <v>6.0613848695656209E-4</v>
      </c>
      <c r="E4" s="20">
        <f t="shared" ref="E4:E5" si="3">A4-$L$2</f>
        <v>0.50945547967847116</v>
      </c>
      <c r="F4" s="14">
        <f t="shared" ref="F4:F5" si="4">B4-$M$2</f>
        <v>2.4619879913528459E-2</v>
      </c>
      <c r="G4" s="39">
        <f t="shared" ref="G4:G5" si="5">E4*F4</f>
        <v>1.2542732730972998E-2</v>
      </c>
      <c r="H4" s="18">
        <f t="shared" ref="H4:H5" si="6">B4-($O$2+$N$2*A4)</f>
        <v>1.6393019195129477E-2</v>
      </c>
      <c r="I4" s="37">
        <f t="shared" ref="I4:I5" si="7">H4*H4</f>
        <v>2.6873107833188349E-4</v>
      </c>
      <c r="J4" s="17">
        <f t="shared" si="2"/>
        <v>5.167079018409567E-2</v>
      </c>
      <c r="K4" s="18"/>
      <c r="L4" s="18"/>
      <c r="M4" s="18"/>
      <c r="N4" s="18"/>
      <c r="O4" s="18"/>
      <c r="P4" s="18"/>
      <c r="Q4" s="18">
        <f>SQRT(Q2)</f>
        <v>2.4577242600446261E-3</v>
      </c>
      <c r="R4" s="18">
        <f>SQRT(R2)</f>
        <v>1.8538064709756354E-2</v>
      </c>
    </row>
    <row r="5" spans="1:18" ht="16.8" thickTop="1" thickBot="1" x14ac:dyDescent="0.35">
      <c r="A5" s="13">
        <f>'Таблица 2'!D21</f>
        <v>11.778065353680343</v>
      </c>
      <c r="B5" s="14">
        <f>'Таблица 2'!E21</f>
        <v>0.20317003697766617</v>
      </c>
      <c r="C5" s="38">
        <f t="shared" si="0"/>
        <v>24.659616973513401</v>
      </c>
      <c r="D5" s="37">
        <f t="shared" si="1"/>
        <v>5.0652323272552778E-3</v>
      </c>
      <c r="E5" s="20">
        <f t="shared" si="3"/>
        <v>4.9658450412304855</v>
      </c>
      <c r="F5" s="14">
        <f t="shared" si="4"/>
        <v>7.1170445602477983E-2</v>
      </c>
      <c r="G5" s="39">
        <f t="shared" si="5"/>
        <v>0.3534214043772293</v>
      </c>
      <c r="H5" s="18">
        <f t="shared" si="6"/>
        <v>-9.0197125819799218E-3</v>
      </c>
      <c r="I5" s="37">
        <f t="shared" si="7"/>
        <v>8.1355215061526906E-5</v>
      </c>
      <c r="J5" s="17">
        <f t="shared" si="2"/>
        <v>6.8748887135066439E-2</v>
      </c>
      <c r="K5" s="18"/>
      <c r="L5" s="18"/>
      <c r="M5" s="18"/>
      <c r="N5" s="18"/>
      <c r="O5" s="18"/>
      <c r="P5" s="18"/>
      <c r="Q5" s="34" t="s">
        <v>60</v>
      </c>
      <c r="R5" s="34" t="s">
        <v>61</v>
      </c>
    </row>
    <row r="6" spans="1:18" ht="15" thickTop="1" x14ac:dyDescent="0.3">
      <c r="A6" s="13"/>
      <c r="B6" s="14"/>
      <c r="C6" s="15"/>
      <c r="D6" s="14"/>
      <c r="E6" s="20"/>
      <c r="F6" s="14"/>
      <c r="G6" s="17"/>
      <c r="H6" s="18"/>
      <c r="I6" s="14"/>
      <c r="J6" s="17"/>
      <c r="K6" s="18"/>
      <c r="L6" s="18"/>
      <c r="M6" s="18"/>
      <c r="N6" s="18"/>
      <c r="O6" s="18"/>
      <c r="P6" s="18"/>
      <c r="Q6" s="18">
        <f>Q4*2</f>
        <v>4.9154485200892523E-3</v>
      </c>
      <c r="R6" s="18">
        <f>R4*2</f>
        <v>3.7076129419512709E-2</v>
      </c>
    </row>
    <row r="7" spans="1:18" x14ac:dyDescent="0.3">
      <c r="A7" s="13"/>
      <c r="B7" s="14"/>
      <c r="C7" s="15"/>
      <c r="D7" s="14"/>
      <c r="E7" s="20"/>
      <c r="F7" s="14"/>
      <c r="G7" s="17"/>
      <c r="H7" s="18"/>
      <c r="I7" s="14"/>
      <c r="J7" s="17"/>
      <c r="K7" s="18"/>
      <c r="L7" s="18"/>
      <c r="M7" s="18"/>
      <c r="N7" s="18"/>
      <c r="O7" s="18"/>
      <c r="P7" s="18"/>
      <c r="Q7" s="18"/>
      <c r="R7" s="18"/>
    </row>
    <row r="8" spans="1:18" x14ac:dyDescent="0.3">
      <c r="A8" s="13"/>
      <c r="B8" s="14"/>
      <c r="C8" s="15"/>
      <c r="D8" s="14"/>
      <c r="E8" s="20"/>
      <c r="F8" s="14"/>
      <c r="G8" s="17"/>
      <c r="H8" s="18"/>
      <c r="I8" s="14"/>
      <c r="J8" s="17"/>
      <c r="K8" s="18"/>
      <c r="L8" s="18"/>
      <c r="M8" s="18"/>
      <c r="N8" s="18"/>
      <c r="O8" s="18"/>
      <c r="P8" s="18"/>
      <c r="Q8" s="18"/>
      <c r="R8" s="18"/>
    </row>
    <row r="9" spans="1:18" x14ac:dyDescent="0.3">
      <c r="A9" s="13"/>
      <c r="B9" s="14"/>
      <c r="C9" s="15"/>
      <c r="D9" s="14"/>
      <c r="E9" s="20"/>
      <c r="F9" s="14"/>
      <c r="G9" s="17"/>
      <c r="H9" s="18"/>
      <c r="I9" s="14"/>
      <c r="J9" s="17"/>
      <c r="K9" s="18"/>
      <c r="L9" s="18"/>
      <c r="M9" s="18"/>
      <c r="N9" s="18"/>
      <c r="O9" s="18"/>
      <c r="P9" s="18"/>
      <c r="Q9" s="18"/>
      <c r="R9" s="18"/>
    </row>
    <row r="10" spans="1:18" x14ac:dyDescent="0.3">
      <c r="A10" s="13"/>
      <c r="B10" s="14"/>
      <c r="C10" s="15"/>
      <c r="D10" s="14"/>
      <c r="E10" s="20"/>
      <c r="F10" s="14"/>
      <c r="G10" s="17"/>
      <c r="H10" s="18"/>
      <c r="I10" s="14"/>
      <c r="J10" s="17"/>
    </row>
    <row r="11" spans="1:18" x14ac:dyDescent="0.3">
      <c r="A11" s="13"/>
      <c r="B11" s="14"/>
      <c r="C11" s="15"/>
      <c r="D11" s="14"/>
      <c r="E11" s="20"/>
      <c r="F11" s="14"/>
      <c r="G11" s="17"/>
      <c r="H11" s="18"/>
      <c r="I11" s="14"/>
      <c r="J11" s="17"/>
    </row>
    <row r="12" spans="1:18" x14ac:dyDescent="0.3">
      <c r="A12" s="13"/>
      <c r="B12" s="14"/>
      <c r="C12" s="15"/>
      <c r="D12" s="14"/>
      <c r="E12" s="20"/>
      <c r="F12" s="14"/>
      <c r="G12" s="17"/>
      <c r="H12" s="18"/>
      <c r="I12" s="14"/>
      <c r="J12" s="17"/>
    </row>
    <row r="13" spans="1:18" x14ac:dyDescent="0.3">
      <c r="A13" s="13"/>
      <c r="B13" s="14"/>
      <c r="C13" s="15"/>
      <c r="D13" s="14"/>
      <c r="E13" s="20"/>
      <c r="F13" s="14"/>
      <c r="G13" s="17"/>
      <c r="H13" s="18"/>
      <c r="I13" s="14"/>
      <c r="J13" s="17"/>
    </row>
    <row r="14" spans="1:18" x14ac:dyDescent="0.3">
      <c r="A14" s="13"/>
      <c r="B14" s="14"/>
      <c r="C14" s="15"/>
      <c r="D14" s="14"/>
      <c r="E14" s="20"/>
      <c r="F14" s="14"/>
      <c r="G14" s="17"/>
      <c r="H14" s="18"/>
      <c r="I14" s="14"/>
      <c r="J14" s="17"/>
    </row>
    <row r="15" spans="1:18" x14ac:dyDescent="0.3">
      <c r="A15" s="13"/>
      <c r="B15" s="14"/>
      <c r="C15" s="15"/>
      <c r="D15" s="14"/>
      <c r="E15" s="20"/>
      <c r="F15" s="14"/>
      <c r="G15" s="17"/>
      <c r="H15" s="18"/>
      <c r="I15" s="14"/>
      <c r="J15" s="17"/>
    </row>
    <row r="16" spans="1:18" x14ac:dyDescent="0.3">
      <c r="A16" s="13"/>
      <c r="B16" s="14"/>
      <c r="C16" s="15"/>
      <c r="D16" s="14"/>
      <c r="E16" s="20"/>
      <c r="F16" s="14"/>
      <c r="G16" s="17"/>
      <c r="H16" s="18"/>
      <c r="I16" s="14"/>
      <c r="J16" s="17"/>
    </row>
    <row r="17" spans="1:10" x14ac:dyDescent="0.3">
      <c r="A17" s="13"/>
      <c r="B17" s="14"/>
      <c r="C17" s="15"/>
      <c r="D17" s="14"/>
      <c r="E17" s="20"/>
      <c r="F17" s="14"/>
      <c r="G17" s="17"/>
      <c r="H17" s="18"/>
      <c r="I17" s="14"/>
      <c r="J17" s="17"/>
    </row>
    <row r="18" spans="1:10" x14ac:dyDescent="0.3">
      <c r="A18" s="13"/>
      <c r="B18" s="14"/>
      <c r="C18" s="15"/>
      <c r="D18" s="14"/>
      <c r="E18" s="20"/>
      <c r="F18" s="14"/>
      <c r="G18" s="17"/>
      <c r="H18" s="18"/>
      <c r="I18" s="14"/>
      <c r="J18" s="17"/>
    </row>
    <row r="19" spans="1:10" x14ac:dyDescent="0.3">
      <c r="A19" s="13"/>
      <c r="B19" s="14"/>
      <c r="C19" s="15"/>
      <c r="D19" s="14"/>
      <c r="E19" s="20"/>
      <c r="F19" s="14"/>
      <c r="G19" s="17"/>
      <c r="H19" s="18"/>
      <c r="I19" s="14"/>
      <c r="J19" s="17"/>
    </row>
    <row r="20" spans="1:10" x14ac:dyDescent="0.3">
      <c r="A20" s="13"/>
      <c r="B20" s="14"/>
      <c r="C20" s="15"/>
      <c r="D20" s="14"/>
      <c r="E20" s="20"/>
      <c r="F20" s="14"/>
      <c r="G20" s="17"/>
      <c r="H20" s="18"/>
      <c r="I20" s="14"/>
      <c r="J20" s="17"/>
    </row>
    <row r="21" spans="1:10" x14ac:dyDescent="0.3">
      <c r="A21" s="13"/>
      <c r="B21" s="14"/>
      <c r="C21" s="15"/>
      <c r="D21" s="14"/>
      <c r="E21" s="20"/>
      <c r="F21" s="14"/>
      <c r="G21" s="17"/>
      <c r="H21" s="18"/>
      <c r="I21" s="14"/>
      <c r="J21" s="17"/>
    </row>
    <row r="22" spans="1:10" x14ac:dyDescent="0.3">
      <c r="A22" s="13"/>
      <c r="B22" s="14"/>
      <c r="C22" s="15"/>
      <c r="D22" s="14"/>
      <c r="E22" s="20"/>
      <c r="F22" s="14"/>
      <c r="G22" s="17"/>
      <c r="H22" s="18"/>
      <c r="I22" s="14"/>
      <c r="J22" s="17"/>
    </row>
    <row r="23" spans="1:10" x14ac:dyDescent="0.3">
      <c r="A23" s="13"/>
      <c r="B23" s="14"/>
      <c r="C23" s="15"/>
      <c r="D23" s="14"/>
      <c r="E23" s="20"/>
      <c r="F23" s="14"/>
      <c r="G23" s="17"/>
      <c r="H23" s="18"/>
      <c r="I23" s="14"/>
      <c r="J23" s="17"/>
    </row>
  </sheetData>
  <pageMargins left="0.7" right="0.7" top="0.75" bottom="0.75" header="0.3" footer="0.3"/>
  <pageSetup paperSize="9"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R23"/>
  <sheetViews>
    <sheetView workbookViewId="0">
      <selection activeCell="M18" sqref="M18"/>
    </sheetView>
  </sheetViews>
  <sheetFormatPr defaultRowHeight="14.4" x14ac:dyDescent="0.3"/>
  <cols>
    <col min="1" max="1" width="9" bestFit="1" customWidth="1"/>
    <col min="2" max="2" width="9.44140625" bestFit="1" customWidth="1"/>
    <col min="3" max="3" width="9" bestFit="1" customWidth="1"/>
    <col min="4" max="4" width="9.6640625" customWidth="1"/>
    <col min="5" max="5" width="9" bestFit="1" customWidth="1"/>
    <col min="6" max="6" width="10.109375" bestFit="1" customWidth="1"/>
    <col min="7" max="7" width="15.5546875" customWidth="1"/>
    <col min="8" max="10" width="9" bestFit="1" customWidth="1"/>
    <col min="12" max="12" width="9" bestFit="1" customWidth="1"/>
    <col min="13" max="14" width="9.44140625" bestFit="1" customWidth="1"/>
    <col min="15" max="18" width="9" bestFit="1" customWidth="1"/>
  </cols>
  <sheetData>
    <row r="1" spans="1:18" ht="46.8" thickTop="1" thickBot="1" x14ac:dyDescent="0.35">
      <c r="A1" s="4" t="s">
        <v>23</v>
      </c>
      <c r="B1" s="5" t="s">
        <v>24</v>
      </c>
      <c r="C1" s="6" t="s">
        <v>28</v>
      </c>
      <c r="D1" s="26" t="s">
        <v>29</v>
      </c>
      <c r="E1" s="25" t="s">
        <v>30</v>
      </c>
      <c r="F1" s="26" t="s">
        <v>31</v>
      </c>
      <c r="G1" s="7" t="s">
        <v>32</v>
      </c>
      <c r="H1" s="11" t="s">
        <v>13</v>
      </c>
      <c r="I1" s="10" t="s">
        <v>36</v>
      </c>
      <c r="J1" s="9" t="s">
        <v>37</v>
      </c>
      <c r="L1" s="7" t="s">
        <v>16</v>
      </c>
      <c r="M1" s="7" t="s">
        <v>25</v>
      </c>
      <c r="N1" s="8" t="s">
        <v>26</v>
      </c>
      <c r="O1" s="8" t="s">
        <v>27</v>
      </c>
      <c r="P1" s="8" t="s">
        <v>33</v>
      </c>
      <c r="Q1" s="8" t="s">
        <v>34</v>
      </c>
      <c r="R1" s="8" t="s">
        <v>35</v>
      </c>
    </row>
    <row r="2" spans="1:18" ht="15.6" thickTop="1" thickBot="1" x14ac:dyDescent="0.35">
      <c r="A2" s="13">
        <f>'Таблица 2'!D4</f>
        <v>2.2482101436993469</v>
      </c>
      <c r="B2" s="14">
        <f>'Таблица 2'!E4</f>
        <v>5.9864256054673486E-2</v>
      </c>
      <c r="C2" s="15">
        <f>(A2-$L$2)*(A2-$L$2)</f>
        <v>5.4328205181497697</v>
      </c>
      <c r="D2" s="14">
        <f>(B2-$M$2)*(B2-$M$2)</f>
        <v>5.330437489372895E-3</v>
      </c>
      <c r="E2" s="16">
        <f>A2-$L$2</f>
        <v>-2.3308411610724935</v>
      </c>
      <c r="F2" s="14">
        <f>B2-$M$2</f>
        <v>-7.3009845153738651E-2</v>
      </c>
      <c r="G2" s="17">
        <f>E2*F2</f>
        <v>0.17017435224786315</v>
      </c>
      <c r="H2" s="18">
        <f>B2-($O$2+$N$2*A2)</f>
        <v>-6.0593454944327038E-3</v>
      </c>
      <c r="I2" s="19">
        <f>H2*H2</f>
        <v>3.6715667820901908E-5</v>
      </c>
      <c r="J2" s="24">
        <f>SQRT(4*$R$2+4*$Q$2*A2*A2)</f>
        <v>2.1055399581352992E-2</v>
      </c>
      <c r="K2" s="18"/>
      <c r="L2" s="18">
        <f>SUM(A:A)/COUNT(A:A)</f>
        <v>4.5790513047718404</v>
      </c>
      <c r="M2" s="18">
        <f>SUM(B:B)/COUNT(B:B)</f>
        <v>0.13287410120841214</v>
      </c>
      <c r="N2" s="18">
        <f>SUM(G:G)/SUM(C:C)</f>
        <v>2.8723750368514992E-2</v>
      </c>
      <c r="O2" s="18">
        <f>M2-N2*L2</f>
        <v>1.3465746055229266E-3</v>
      </c>
      <c r="P2" s="18">
        <f>SUM(C:C)</f>
        <v>14.135198261383973</v>
      </c>
      <c r="Q2" s="18">
        <f>1/P2*SUM(I:I)/(COUNT(I:I)-2)</f>
        <v>3.7499193269355262E-6</v>
      </c>
      <c r="R2" s="18">
        <f>(1/COUNT(I:I)+L2*L2/P2)*SUM(I:I)/(COUNT(I:I)-2)</f>
        <v>9.1878687452115514E-5</v>
      </c>
    </row>
    <row r="3" spans="1:18" ht="16.8" thickTop="1" thickBot="1" x14ac:dyDescent="0.35">
      <c r="A3" s="13">
        <f>'Таблица 2'!D10</f>
        <v>3.4616362242318255</v>
      </c>
      <c r="B3" s="14">
        <f>'Таблица 2'!E10</f>
        <v>0.10887800289100473</v>
      </c>
      <c r="C3" s="15">
        <f t="shared" ref="C3:C5" si="0">(A3-$L$2)*(A3-$L$2)</f>
        <v>1.2486164622182481</v>
      </c>
      <c r="D3" s="14">
        <f t="shared" ref="D3:D5" si="1">(B3-$M$2)*(B3-$M$2)</f>
        <v>5.7581273445868287E-4</v>
      </c>
      <c r="E3" s="20">
        <f>A3-$L$2</f>
        <v>-1.1174150805400149</v>
      </c>
      <c r="F3" s="14">
        <f>B3-$M$2</f>
        <v>-2.3996098317407413E-2</v>
      </c>
      <c r="G3" s="17">
        <f>E3*F3</f>
        <v>2.6813602133991921E-2</v>
      </c>
      <c r="H3" s="18">
        <f>B3-($O$2+$N$2*A3)</f>
        <v>8.1002535140380638E-3</v>
      </c>
      <c r="I3" s="14">
        <f>H3*H3</f>
        <v>6.5614106991686004E-5</v>
      </c>
      <c r="J3" s="17">
        <f t="shared" ref="J3:J5" si="2">SQRT(4*$R$2+4*$Q$2*A3*A3)</f>
        <v>2.3393476937918711E-2</v>
      </c>
      <c r="K3" s="27"/>
      <c r="L3" s="18"/>
      <c r="M3" s="18"/>
      <c r="N3" s="34" t="s">
        <v>54</v>
      </c>
      <c r="O3" s="34" t="s">
        <v>55</v>
      </c>
      <c r="P3" s="18"/>
      <c r="Q3" s="34" t="s">
        <v>58</v>
      </c>
      <c r="R3" s="34" t="s">
        <v>59</v>
      </c>
    </row>
    <row r="4" spans="1:18" ht="15.6" thickTop="1" thickBot="1" x14ac:dyDescent="0.35">
      <c r="A4" s="13">
        <f>'Таблица 2'!D16</f>
        <v>5.4346963436743252</v>
      </c>
      <c r="B4" s="14">
        <f>'Таблица 2'!E16</f>
        <v>0.15732520726337679</v>
      </c>
      <c r="C4" s="15">
        <f t="shared" si="0"/>
        <v>0.73212843259843474</v>
      </c>
      <c r="D4" s="14">
        <f t="shared" si="1"/>
        <v>5.9785658731112867E-4</v>
      </c>
      <c r="E4" s="20">
        <f t="shared" ref="E4:E5" si="3">A4-$L$2</f>
        <v>0.85564503890248478</v>
      </c>
      <c r="F4" s="14">
        <f t="shared" ref="F4:F5" si="4">B4-$M$2</f>
        <v>2.4451106054964644E-2</v>
      </c>
      <c r="G4" s="17">
        <f t="shared" ref="G4:G5" si="5">E4*F4</f>
        <v>2.0921467591609004E-2</v>
      </c>
      <c r="H4" s="18">
        <f t="shared" ref="H4:H5" si="6">B4-($O$2+$N$2*A4)</f>
        <v>-1.2622844652862564E-4</v>
      </c>
      <c r="I4" s="14">
        <f t="shared" ref="I4:I5" si="7">H4*H4</f>
        <v>1.5933620713030102E-8</v>
      </c>
      <c r="J4" s="17">
        <f t="shared" si="2"/>
        <v>2.8470055918693792E-2</v>
      </c>
      <c r="K4" s="18"/>
      <c r="L4" s="18"/>
      <c r="M4" s="18"/>
      <c r="N4" s="18"/>
      <c r="O4" s="18"/>
      <c r="P4" s="18"/>
      <c r="Q4" s="18">
        <f>SQRT(Q2)</f>
        <v>1.9364708432960012E-3</v>
      </c>
      <c r="R4" s="18">
        <f>SQRT(R2)</f>
        <v>9.5853371068583462E-3</v>
      </c>
    </row>
    <row r="5" spans="1:18" ht="16.8" thickTop="1" thickBot="1" x14ac:dyDescent="0.35">
      <c r="A5" s="13">
        <f>'Таблица 2'!D22</f>
        <v>7.171662507481865</v>
      </c>
      <c r="B5" s="14">
        <f>'Таблица 2'!E22</f>
        <v>0.20542893862459352</v>
      </c>
      <c r="C5" s="15">
        <f t="shared" si="0"/>
        <v>6.7216328484175198</v>
      </c>
      <c r="D5" s="14">
        <f t="shared" si="1"/>
        <v>5.2642044324885135E-3</v>
      </c>
      <c r="E5" s="20">
        <f t="shared" si="3"/>
        <v>2.5926112027100245</v>
      </c>
      <c r="F5" s="14">
        <f t="shared" si="4"/>
        <v>7.2554837416181378E-2</v>
      </c>
      <c r="G5" s="17">
        <f t="shared" si="5"/>
        <v>0.1881064842959963</v>
      </c>
      <c r="H5" s="18">
        <f t="shared" si="6"/>
        <v>-1.9146795730767829E-3</v>
      </c>
      <c r="I5" s="14">
        <f t="shared" si="7"/>
        <v>3.6659978675574918E-6</v>
      </c>
      <c r="J5" s="17">
        <f t="shared" si="2"/>
        <v>3.3748915533373371E-2</v>
      </c>
      <c r="K5" s="18"/>
      <c r="L5" s="18"/>
      <c r="M5" s="18"/>
      <c r="N5" s="18"/>
      <c r="O5" s="18"/>
      <c r="P5" s="18"/>
      <c r="Q5" s="34" t="s">
        <v>60</v>
      </c>
      <c r="R5" s="34" t="s">
        <v>61</v>
      </c>
    </row>
    <row r="6" spans="1:18" ht="15" thickTop="1" x14ac:dyDescent="0.3">
      <c r="A6" s="13"/>
      <c r="B6" s="14"/>
      <c r="C6" s="15"/>
      <c r="D6" s="14"/>
      <c r="E6" s="20"/>
      <c r="F6" s="14"/>
      <c r="G6" s="17"/>
      <c r="H6" s="18"/>
      <c r="I6" s="14"/>
      <c r="J6" s="17"/>
      <c r="K6" s="18"/>
      <c r="L6" s="18"/>
      <c r="M6" s="18"/>
      <c r="N6" s="18"/>
      <c r="O6" s="18"/>
      <c r="P6" s="18"/>
      <c r="Q6" s="18">
        <f>Q4*2</f>
        <v>3.8729416865920024E-3</v>
      </c>
      <c r="R6" s="18">
        <f>R4*2</f>
        <v>1.9170674213716692E-2</v>
      </c>
    </row>
    <row r="7" spans="1:18" x14ac:dyDescent="0.3">
      <c r="A7" s="13"/>
      <c r="B7" s="14"/>
      <c r="C7" s="15"/>
      <c r="D7" s="14"/>
      <c r="E7" s="20"/>
      <c r="F7" s="14"/>
      <c r="G7" s="17"/>
      <c r="H7" s="18"/>
      <c r="I7" s="14"/>
      <c r="J7" s="17"/>
      <c r="K7" s="18"/>
      <c r="L7" s="18"/>
      <c r="M7" s="18"/>
      <c r="N7" s="18"/>
      <c r="O7" s="18"/>
      <c r="P7" s="18"/>
      <c r="Q7" s="18"/>
      <c r="R7" s="18"/>
    </row>
    <row r="8" spans="1:18" x14ac:dyDescent="0.3">
      <c r="A8" s="13"/>
      <c r="B8" s="14"/>
      <c r="C8" s="15"/>
      <c r="D8" s="14"/>
      <c r="E8" s="20"/>
      <c r="F8" s="14"/>
      <c r="G8" s="17"/>
      <c r="H8" s="18"/>
      <c r="I8" s="14"/>
      <c r="J8" s="17"/>
      <c r="K8" s="18"/>
      <c r="L8" s="18"/>
      <c r="M8" s="18"/>
      <c r="N8" s="18"/>
      <c r="O8" s="18"/>
      <c r="P8" s="18"/>
      <c r="Q8" s="18"/>
      <c r="R8" s="18"/>
    </row>
    <row r="9" spans="1:18" x14ac:dyDescent="0.3">
      <c r="A9" s="13"/>
      <c r="B9" s="14"/>
      <c r="C9" s="15"/>
      <c r="D9" s="14"/>
      <c r="E9" s="20"/>
      <c r="F9" s="14"/>
      <c r="G9" s="17"/>
      <c r="H9" s="18"/>
      <c r="I9" s="14"/>
      <c r="J9" s="17"/>
      <c r="K9" s="18"/>
      <c r="L9" s="18"/>
      <c r="M9" s="18"/>
      <c r="N9" s="18"/>
      <c r="O9" s="18"/>
      <c r="P9" s="18"/>
      <c r="Q9" s="18"/>
      <c r="R9" s="18"/>
    </row>
    <row r="10" spans="1:18" x14ac:dyDescent="0.3">
      <c r="A10" s="13"/>
      <c r="B10" s="14"/>
      <c r="C10" s="15"/>
      <c r="D10" s="14"/>
      <c r="E10" s="20"/>
      <c r="F10" s="14"/>
      <c r="G10" s="17"/>
      <c r="H10" s="18"/>
      <c r="I10" s="14"/>
      <c r="J10" s="17"/>
    </row>
    <row r="11" spans="1:18" x14ac:dyDescent="0.3">
      <c r="A11" s="13"/>
      <c r="B11" s="14"/>
      <c r="C11" s="15"/>
      <c r="D11" s="14"/>
      <c r="E11" s="20"/>
      <c r="F11" s="14"/>
      <c r="G11" s="17"/>
      <c r="H11" s="18"/>
      <c r="I11" s="14"/>
      <c r="J11" s="17"/>
    </row>
    <row r="12" spans="1:18" x14ac:dyDescent="0.3">
      <c r="A12" s="13"/>
      <c r="B12" s="14"/>
      <c r="C12" s="15"/>
      <c r="D12" s="14"/>
      <c r="E12" s="20"/>
      <c r="F12" s="14"/>
      <c r="G12" s="17"/>
      <c r="H12" s="18"/>
      <c r="I12" s="14"/>
      <c r="J12" s="17"/>
    </row>
    <row r="13" spans="1:18" x14ac:dyDescent="0.3">
      <c r="A13" s="13"/>
      <c r="B13" s="14"/>
      <c r="C13" s="15"/>
      <c r="D13" s="14"/>
      <c r="E13" s="20"/>
      <c r="F13" s="14"/>
      <c r="G13" s="17"/>
      <c r="H13" s="18"/>
      <c r="I13" s="14"/>
      <c r="J13" s="17"/>
    </row>
    <row r="14" spans="1:18" x14ac:dyDescent="0.3">
      <c r="A14" s="13"/>
      <c r="B14" s="14"/>
      <c r="C14" s="15"/>
      <c r="D14" s="14"/>
      <c r="E14" s="20"/>
      <c r="F14" s="14"/>
      <c r="G14" s="17"/>
      <c r="H14" s="18"/>
      <c r="I14" s="14"/>
      <c r="J14" s="17"/>
    </row>
    <row r="15" spans="1:18" x14ac:dyDescent="0.3">
      <c r="A15" s="13"/>
      <c r="B15" s="14"/>
      <c r="C15" s="15"/>
      <c r="D15" s="14"/>
      <c r="E15" s="20"/>
      <c r="F15" s="14"/>
      <c r="G15" s="17"/>
      <c r="H15" s="18"/>
      <c r="I15" s="14"/>
      <c r="J15" s="17"/>
    </row>
    <row r="16" spans="1:18" x14ac:dyDescent="0.3">
      <c r="A16" s="13"/>
      <c r="B16" s="14"/>
      <c r="C16" s="15"/>
      <c r="D16" s="14"/>
      <c r="E16" s="20"/>
      <c r="F16" s="14"/>
      <c r="G16" s="17"/>
      <c r="H16" s="18"/>
      <c r="I16" s="14"/>
      <c r="J16" s="17"/>
    </row>
    <row r="17" spans="1:10" x14ac:dyDescent="0.3">
      <c r="A17" s="13"/>
      <c r="B17" s="14"/>
      <c r="C17" s="15"/>
      <c r="D17" s="14"/>
      <c r="E17" s="20"/>
      <c r="F17" s="14"/>
      <c r="G17" s="17"/>
      <c r="H17" s="18"/>
      <c r="I17" s="14"/>
      <c r="J17" s="17"/>
    </row>
    <row r="18" spans="1:10" x14ac:dyDescent="0.3">
      <c r="A18" s="13"/>
      <c r="B18" s="14"/>
      <c r="C18" s="15"/>
      <c r="D18" s="14"/>
      <c r="E18" s="20"/>
      <c r="F18" s="14"/>
      <c r="G18" s="17"/>
      <c r="H18" s="18"/>
      <c r="I18" s="14"/>
      <c r="J18" s="17"/>
    </row>
    <row r="19" spans="1:10" x14ac:dyDescent="0.3">
      <c r="A19" s="13"/>
      <c r="B19" s="14"/>
      <c r="C19" s="15"/>
      <c r="D19" s="14"/>
      <c r="E19" s="20"/>
      <c r="F19" s="14"/>
      <c r="G19" s="17"/>
      <c r="H19" s="18"/>
      <c r="I19" s="14"/>
      <c r="J19" s="17"/>
    </row>
    <row r="20" spans="1:10" x14ac:dyDescent="0.3">
      <c r="A20" s="13"/>
      <c r="B20" s="14"/>
      <c r="C20" s="15"/>
      <c r="D20" s="14"/>
      <c r="E20" s="20"/>
      <c r="F20" s="14"/>
      <c r="G20" s="17"/>
      <c r="H20" s="18"/>
      <c r="I20" s="14"/>
      <c r="J20" s="17"/>
    </row>
    <row r="21" spans="1:10" x14ac:dyDescent="0.3">
      <c r="A21" s="13"/>
      <c r="B21" s="14"/>
      <c r="C21" s="15"/>
      <c r="D21" s="14"/>
      <c r="E21" s="20"/>
      <c r="F21" s="14"/>
      <c r="G21" s="17"/>
      <c r="H21" s="18"/>
      <c r="I21" s="14"/>
      <c r="J21" s="17"/>
    </row>
    <row r="22" spans="1:10" x14ac:dyDescent="0.3">
      <c r="A22" s="13"/>
      <c r="B22" s="14"/>
      <c r="C22" s="15"/>
      <c r="D22" s="14"/>
      <c r="E22" s="20"/>
      <c r="F22" s="14"/>
      <c r="G22" s="17"/>
      <c r="H22" s="18"/>
      <c r="I22" s="14"/>
      <c r="J22" s="17"/>
    </row>
    <row r="23" spans="1:10" x14ac:dyDescent="0.3">
      <c r="A23" s="13"/>
      <c r="B23" s="14"/>
      <c r="C23" s="15"/>
      <c r="D23" s="14"/>
      <c r="E23" s="20"/>
      <c r="F23" s="14"/>
      <c r="G23" s="17"/>
      <c r="H23" s="18"/>
      <c r="I23" s="14"/>
      <c r="J23" s="17"/>
    </row>
  </sheetData>
  <pageMargins left="0.7" right="0.7" top="0.75" bottom="0.75" header="0.3" footer="0.3"/>
  <pageSetup paperSize="9" orientation="portrait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R23"/>
  <sheetViews>
    <sheetView workbookViewId="0">
      <selection activeCell="Q5" activeCellId="2" sqref="N3:O3 Q3:R3 Q5:R5"/>
    </sheetView>
  </sheetViews>
  <sheetFormatPr defaultRowHeight="14.4" x14ac:dyDescent="0.3"/>
  <cols>
    <col min="1" max="1" width="9" bestFit="1" customWidth="1"/>
    <col min="2" max="2" width="9.44140625" bestFit="1" customWidth="1"/>
    <col min="3" max="3" width="9" bestFit="1" customWidth="1"/>
    <col min="4" max="4" width="9.6640625" customWidth="1"/>
    <col min="5" max="5" width="9" bestFit="1" customWidth="1"/>
    <col min="6" max="6" width="10.109375" bestFit="1" customWidth="1"/>
    <col min="7" max="7" width="15.5546875" customWidth="1"/>
    <col min="8" max="10" width="9" bestFit="1" customWidth="1"/>
    <col min="12" max="12" width="9" bestFit="1" customWidth="1"/>
    <col min="13" max="14" width="9.44140625" bestFit="1" customWidth="1"/>
    <col min="15" max="18" width="9" bestFit="1" customWidth="1"/>
  </cols>
  <sheetData>
    <row r="1" spans="1:18" ht="46.8" thickTop="1" thickBot="1" x14ac:dyDescent="0.35">
      <c r="A1" s="4" t="s">
        <v>23</v>
      </c>
      <c r="B1" s="5" t="s">
        <v>24</v>
      </c>
      <c r="C1" s="6" t="s">
        <v>28</v>
      </c>
      <c r="D1" s="26" t="s">
        <v>29</v>
      </c>
      <c r="E1" s="25" t="s">
        <v>30</v>
      </c>
      <c r="F1" s="26" t="s">
        <v>31</v>
      </c>
      <c r="G1" s="7" t="s">
        <v>32</v>
      </c>
      <c r="H1" s="11" t="s">
        <v>13</v>
      </c>
      <c r="I1" s="10" t="s">
        <v>36</v>
      </c>
      <c r="J1" s="9" t="s">
        <v>37</v>
      </c>
      <c r="L1" s="7" t="s">
        <v>16</v>
      </c>
      <c r="M1" s="7" t="s">
        <v>25</v>
      </c>
      <c r="N1" s="8" t="s">
        <v>26</v>
      </c>
      <c r="O1" s="8" t="s">
        <v>27</v>
      </c>
      <c r="P1" s="8" t="s">
        <v>33</v>
      </c>
      <c r="Q1" s="8" t="s">
        <v>34</v>
      </c>
      <c r="R1" s="8" t="s">
        <v>35</v>
      </c>
    </row>
    <row r="2" spans="1:18" ht="15.6" thickTop="1" thickBot="1" x14ac:dyDescent="0.35">
      <c r="A2" s="13">
        <f>'Таблица 2'!D5</f>
        <v>1.6703435656768419</v>
      </c>
      <c r="B2" s="14">
        <f>'Таблица 2'!E5</f>
        <v>5.9945875663753118E-2</v>
      </c>
      <c r="C2" s="15">
        <f>(A2-$L$2)*(A2-$L$2)</f>
        <v>3.0838440029548773</v>
      </c>
      <c r="D2" s="14">
        <f>(B2-$M$2)*(B2-$M$2)</f>
        <v>5.3815886904262063E-3</v>
      </c>
      <c r="E2" s="16">
        <f>A2-$L$2</f>
        <v>-1.7560876979680933</v>
      </c>
      <c r="F2" s="14">
        <f>B2-$M$2</f>
        <v>-7.335931222705272E-2</v>
      </c>
      <c r="G2" s="17">
        <f>E2*F2</f>
        <v>0.12882538573332761</v>
      </c>
      <c r="H2" s="18">
        <f>B2-($O$2+$N$2*A2)</f>
        <v>-2.9141979076909852E-3</v>
      </c>
      <c r="I2" s="19">
        <f>H2*H2</f>
        <v>8.4925494451905165E-6</v>
      </c>
      <c r="J2" s="24">
        <f>SQRT(4*$R$2+4*$Q$2*A2*A2)</f>
        <v>1.2197729481534881E-2</v>
      </c>
      <c r="K2" s="18"/>
      <c r="L2" s="18">
        <f>SUM(A:A)/COUNT(A:A)</f>
        <v>3.4264312636449352</v>
      </c>
      <c r="M2" s="18">
        <f>SUM(B:B)/COUNT(B:B)</f>
        <v>0.13330518789080584</v>
      </c>
      <c r="N2" s="18">
        <f>SUM(G:G)/SUM(C:C)</f>
        <v>4.0114804289598557E-2</v>
      </c>
      <c r="O2" s="18">
        <f>M2-N2*L2</f>
        <v>-4.1454316620726239E-3</v>
      </c>
      <c r="P2" s="18">
        <f>SUM(C:C)</f>
        <v>7.3786331155118559</v>
      </c>
      <c r="Q2" s="18">
        <f>1/P2*SUM(I:I)/(COUNT(I:I)-2)</f>
        <v>2.2715016597776304E-6</v>
      </c>
      <c r="R2" s="18">
        <f>(1/COUNT(I:I)+L2*L2/P2)*SUM(I:I)/(COUNT(I:I)-2)</f>
        <v>3.0858553309683033E-5</v>
      </c>
    </row>
    <row r="3" spans="1:18" ht="16.8" thickTop="1" thickBot="1" x14ac:dyDescent="0.35">
      <c r="A3" s="13">
        <f>'Таблица 2'!D11</f>
        <v>2.7633595715055694</v>
      </c>
      <c r="B3" s="14">
        <f>'Таблица 2'!E11</f>
        <v>0.10905789501711002</v>
      </c>
      <c r="C3" s="15">
        <f t="shared" ref="C3:C5" si="0">(A3-$L$2)*(A3-$L$2)</f>
        <v>0.4396640689165619</v>
      </c>
      <c r="D3" s="14">
        <f t="shared" ref="D3:D5" si="1">(B3-$M$2)*(B3-$M$2)</f>
        <v>5.8793121170277974E-4</v>
      </c>
      <c r="E3" s="20">
        <f>A3-$L$2</f>
        <v>-0.66307169213936579</v>
      </c>
      <c r="F3" s="14">
        <f>B3-$M$2</f>
        <v>-2.4247292873695814E-2</v>
      </c>
      <c r="G3" s="17">
        <f>E3*F3</f>
        <v>1.6077693515560269E-2</v>
      </c>
      <c r="H3" s="18">
        <f>B3-($O$2+$N$2*A3)</f>
        <v>2.3516982864477953E-3</v>
      </c>
      <c r="I3" s="14">
        <f>H3*H3</f>
        <v>5.5304848304814968E-6</v>
      </c>
      <c r="J3" s="17">
        <f t="shared" ref="J3:J5" si="2">SQRT(4*$R$2+4*$Q$2*A3*A3)</f>
        <v>1.388583373281355E-2</v>
      </c>
      <c r="K3" s="27"/>
      <c r="L3" s="18"/>
      <c r="M3" s="18"/>
      <c r="N3" s="34" t="s">
        <v>54</v>
      </c>
      <c r="O3" s="34" t="s">
        <v>55</v>
      </c>
      <c r="P3" s="18"/>
      <c r="Q3" s="34" t="s">
        <v>58</v>
      </c>
      <c r="R3" s="34" t="s">
        <v>59</v>
      </c>
    </row>
    <row r="4" spans="1:18" ht="15.6" thickTop="1" thickBot="1" x14ac:dyDescent="0.35">
      <c r="A4" s="13">
        <f>'Таблица 2'!D17</f>
        <v>3.9544836421999521</v>
      </c>
      <c r="B4" s="14">
        <f>'Таблица 2'!E17</f>
        <v>0.15787881125436634</v>
      </c>
      <c r="C4" s="15">
        <f t="shared" si="0"/>
        <v>0.27883931449761085</v>
      </c>
      <c r="D4" s="14">
        <f t="shared" si="1"/>
        <v>6.0386296521412666E-4</v>
      </c>
      <c r="E4" s="20">
        <f t="shared" ref="E4:E5" si="3">A4-$L$2</f>
        <v>0.52805237855501685</v>
      </c>
      <c r="F4" s="14">
        <f t="shared" ref="F4:F5" si="4">B4-$M$2</f>
        <v>2.4573623363560504E-2</v>
      </c>
      <c r="G4" s="17">
        <f t="shared" ref="G4:G5" si="5">E4*F4</f>
        <v>1.2976160266843258E-2</v>
      </c>
      <c r="H4" s="18">
        <f t="shared" ref="H4:H5" si="6">B4-($O$2+$N$2*A4)</f>
        <v>3.3909055431690094E-3</v>
      </c>
      <c r="I4" s="14">
        <f t="shared" ref="I4:I5" si="7">H4*H4</f>
        <v>1.1498240402694314E-5</v>
      </c>
      <c r="J4" s="17">
        <f t="shared" si="2"/>
        <v>1.6294804321131496E-2</v>
      </c>
      <c r="K4" s="18"/>
      <c r="L4" s="18"/>
      <c r="M4" s="18"/>
      <c r="N4" s="18"/>
      <c r="O4" s="18"/>
      <c r="P4" s="18"/>
      <c r="Q4" s="18">
        <f>SQRT(Q2)</f>
        <v>1.5071501782429083E-3</v>
      </c>
      <c r="R4" s="18">
        <f>SQRT(R2)</f>
        <v>5.555047552423204E-3</v>
      </c>
    </row>
    <row r="5" spans="1:18" ht="16.8" thickTop="1" thickBot="1" x14ac:dyDescent="0.35">
      <c r="A5" s="13">
        <f>'Таблица 2'!D23</f>
        <v>5.3175382751973768</v>
      </c>
      <c r="B5" s="14">
        <f>'Таблица 2'!E23</f>
        <v>0.20633816962799392</v>
      </c>
      <c r="C5" s="15">
        <f t="shared" si="0"/>
        <v>3.5762857291428061</v>
      </c>
      <c r="D5" s="14">
        <f t="shared" si="1"/>
        <v>5.3338164214244482E-3</v>
      </c>
      <c r="E5" s="20">
        <f t="shared" si="3"/>
        <v>1.8911070115524415</v>
      </c>
      <c r="F5" s="14">
        <f t="shared" si="4"/>
        <v>7.3032981737188085E-2</v>
      </c>
      <c r="G5" s="17">
        <f t="shared" si="5"/>
        <v>0.13811318383777779</v>
      </c>
      <c r="H5" s="18">
        <f t="shared" si="6"/>
        <v>-2.8284059219257085E-3</v>
      </c>
      <c r="I5" s="14">
        <f t="shared" si="7"/>
        <v>7.9998800591844177E-6</v>
      </c>
      <c r="J5" s="17">
        <f t="shared" si="2"/>
        <v>1.9502617134267992E-2</v>
      </c>
      <c r="K5" s="18"/>
      <c r="L5" s="18"/>
      <c r="M5" s="18"/>
      <c r="N5" s="18"/>
      <c r="O5" s="18"/>
      <c r="P5" s="18"/>
      <c r="Q5" s="34" t="s">
        <v>60</v>
      </c>
      <c r="R5" s="34" t="s">
        <v>61</v>
      </c>
    </row>
    <row r="6" spans="1:18" ht="15" thickTop="1" x14ac:dyDescent="0.3">
      <c r="A6" s="13"/>
      <c r="B6" s="14"/>
      <c r="C6" s="15"/>
      <c r="D6" s="14"/>
      <c r="E6" s="20"/>
      <c r="F6" s="14"/>
      <c r="G6" s="17"/>
      <c r="H6" s="18"/>
      <c r="I6" s="14"/>
      <c r="J6" s="17"/>
      <c r="K6" s="18"/>
      <c r="L6" s="18"/>
      <c r="M6" s="18"/>
      <c r="N6" s="18"/>
      <c r="O6" s="18"/>
      <c r="P6" s="18"/>
      <c r="Q6" s="18">
        <f>Q4*2</f>
        <v>3.0143003564858167E-3</v>
      </c>
      <c r="R6" s="18">
        <f>R4*2</f>
        <v>1.1110095104846408E-2</v>
      </c>
    </row>
    <row r="7" spans="1:18" x14ac:dyDescent="0.3">
      <c r="A7" s="13"/>
      <c r="B7" s="14"/>
      <c r="C7" s="15"/>
      <c r="D7" s="14"/>
      <c r="E7" s="20"/>
      <c r="F7" s="14"/>
      <c r="G7" s="17"/>
      <c r="H7" s="18"/>
      <c r="I7" s="14"/>
      <c r="J7" s="17"/>
      <c r="K7" s="18"/>
      <c r="L7" s="18"/>
      <c r="M7" s="18"/>
      <c r="N7" s="18"/>
      <c r="O7" s="18"/>
      <c r="P7" s="18"/>
      <c r="Q7" s="18"/>
      <c r="R7" s="18"/>
    </row>
    <row r="8" spans="1:18" x14ac:dyDescent="0.3">
      <c r="A8" s="13"/>
      <c r="B8" s="14"/>
      <c r="C8" s="15"/>
      <c r="D8" s="14"/>
      <c r="E8" s="20"/>
      <c r="F8" s="14"/>
      <c r="G8" s="17"/>
      <c r="H8" s="18"/>
      <c r="I8" s="14"/>
      <c r="J8" s="17"/>
      <c r="K8" s="18"/>
      <c r="L8" s="18"/>
      <c r="M8" s="18"/>
      <c r="N8" s="18"/>
      <c r="O8" s="18"/>
      <c r="P8" s="18"/>
      <c r="Q8" s="18"/>
      <c r="R8" s="18"/>
    </row>
    <row r="9" spans="1:18" x14ac:dyDescent="0.3">
      <c r="A9" s="13"/>
      <c r="B9" s="14"/>
      <c r="C9" s="15"/>
      <c r="D9" s="14"/>
      <c r="E9" s="20"/>
      <c r="F9" s="14"/>
      <c r="G9" s="17"/>
      <c r="H9" s="18"/>
      <c r="I9" s="14"/>
      <c r="J9" s="17"/>
      <c r="K9" s="18"/>
      <c r="L9" s="18"/>
      <c r="M9" s="18"/>
      <c r="N9" s="18"/>
      <c r="O9" s="18"/>
      <c r="P9" s="18"/>
      <c r="Q9" s="18"/>
      <c r="R9" s="18"/>
    </row>
    <row r="10" spans="1:18" x14ac:dyDescent="0.3">
      <c r="A10" s="13"/>
      <c r="B10" s="14"/>
      <c r="C10" s="15"/>
      <c r="D10" s="14"/>
      <c r="E10" s="20"/>
      <c r="F10" s="14"/>
      <c r="G10" s="17"/>
      <c r="H10" s="18"/>
      <c r="I10" s="14"/>
      <c r="J10" s="17"/>
    </row>
    <row r="11" spans="1:18" x14ac:dyDescent="0.3">
      <c r="A11" s="13"/>
      <c r="B11" s="14"/>
      <c r="C11" s="15"/>
      <c r="D11" s="14"/>
      <c r="E11" s="20"/>
      <c r="F11" s="14"/>
      <c r="G11" s="17"/>
      <c r="H11" s="18"/>
      <c r="I11" s="14"/>
      <c r="J11" s="17"/>
    </row>
    <row r="12" spans="1:18" x14ac:dyDescent="0.3">
      <c r="A12" s="13"/>
      <c r="B12" s="14"/>
      <c r="C12" s="15"/>
      <c r="D12" s="14"/>
      <c r="E12" s="20"/>
      <c r="F12" s="14"/>
      <c r="G12" s="17"/>
      <c r="H12" s="18"/>
      <c r="I12" s="14"/>
      <c r="J12" s="17"/>
    </row>
    <row r="13" spans="1:18" x14ac:dyDescent="0.3">
      <c r="A13" s="13"/>
      <c r="B13" s="14"/>
      <c r="C13" s="15"/>
      <c r="D13" s="14"/>
      <c r="E13" s="20"/>
      <c r="F13" s="14"/>
      <c r="G13" s="17"/>
      <c r="H13" s="18"/>
      <c r="I13" s="14"/>
      <c r="J13" s="17"/>
    </row>
    <row r="14" spans="1:18" x14ac:dyDescent="0.3">
      <c r="A14" s="13"/>
      <c r="B14" s="14"/>
      <c r="C14" s="15"/>
      <c r="D14" s="14"/>
      <c r="E14" s="20"/>
      <c r="F14" s="14"/>
      <c r="G14" s="17"/>
      <c r="H14" s="18"/>
      <c r="I14" s="14"/>
      <c r="J14" s="17"/>
    </row>
    <row r="15" spans="1:18" x14ac:dyDescent="0.3">
      <c r="A15" s="13"/>
      <c r="B15" s="14"/>
      <c r="C15" s="15"/>
      <c r="D15" s="14"/>
      <c r="E15" s="20"/>
      <c r="F15" s="14"/>
      <c r="G15" s="17"/>
      <c r="H15" s="18"/>
      <c r="I15" s="14"/>
      <c r="J15" s="17"/>
    </row>
    <row r="16" spans="1:18" x14ac:dyDescent="0.3">
      <c r="A16" s="13"/>
      <c r="B16" s="14"/>
      <c r="C16" s="15"/>
      <c r="D16" s="14"/>
      <c r="E16" s="20"/>
      <c r="F16" s="14"/>
      <c r="G16" s="17"/>
      <c r="H16" s="18"/>
      <c r="I16" s="14"/>
      <c r="J16" s="17"/>
    </row>
    <row r="17" spans="1:10" x14ac:dyDescent="0.3">
      <c r="A17" s="13"/>
      <c r="B17" s="14"/>
      <c r="C17" s="15"/>
      <c r="D17" s="14"/>
      <c r="E17" s="20"/>
      <c r="F17" s="14"/>
      <c r="G17" s="17"/>
      <c r="H17" s="18"/>
      <c r="I17" s="14"/>
      <c r="J17" s="17"/>
    </row>
    <row r="18" spans="1:10" x14ac:dyDescent="0.3">
      <c r="A18" s="13"/>
      <c r="B18" s="14"/>
      <c r="C18" s="15"/>
      <c r="D18" s="14"/>
      <c r="E18" s="20"/>
      <c r="F18" s="14"/>
      <c r="G18" s="17"/>
      <c r="H18" s="18"/>
      <c r="I18" s="14"/>
      <c r="J18" s="17"/>
    </row>
    <row r="19" spans="1:10" x14ac:dyDescent="0.3">
      <c r="A19" s="13"/>
      <c r="B19" s="14"/>
      <c r="C19" s="15"/>
      <c r="D19" s="14"/>
      <c r="E19" s="20"/>
      <c r="F19" s="14"/>
      <c r="G19" s="17"/>
      <c r="H19" s="18"/>
      <c r="I19" s="14"/>
      <c r="J19" s="17"/>
    </row>
    <row r="20" spans="1:10" x14ac:dyDescent="0.3">
      <c r="A20" s="13"/>
      <c r="B20" s="14"/>
      <c r="C20" s="15"/>
      <c r="D20" s="14"/>
      <c r="E20" s="20"/>
      <c r="F20" s="14"/>
      <c r="G20" s="17"/>
      <c r="H20" s="18"/>
      <c r="I20" s="14"/>
      <c r="J20" s="17"/>
    </row>
    <row r="21" spans="1:10" x14ac:dyDescent="0.3">
      <c r="A21" s="13"/>
      <c r="B21" s="14"/>
      <c r="C21" s="15"/>
      <c r="D21" s="14"/>
      <c r="E21" s="20"/>
      <c r="F21" s="14"/>
      <c r="G21" s="17"/>
      <c r="H21" s="18"/>
      <c r="I21" s="14"/>
      <c r="J21" s="17"/>
    </row>
    <row r="22" spans="1:10" x14ac:dyDescent="0.3">
      <c r="A22" s="13"/>
      <c r="B22" s="14"/>
      <c r="C22" s="15"/>
      <c r="D22" s="14"/>
      <c r="E22" s="20"/>
      <c r="F22" s="14"/>
      <c r="G22" s="17"/>
      <c r="H22" s="18"/>
      <c r="I22" s="14"/>
      <c r="J22" s="17"/>
    </row>
    <row r="23" spans="1:10" x14ac:dyDescent="0.3">
      <c r="A23" s="13"/>
      <c r="B23" s="14"/>
      <c r="C23" s="15"/>
      <c r="D23" s="14"/>
      <c r="E23" s="20"/>
      <c r="F23" s="14"/>
      <c r="G23" s="17"/>
      <c r="H23" s="18"/>
      <c r="I23" s="14"/>
      <c r="J23" s="17"/>
    </row>
  </sheetData>
  <pageMargins left="0.7" right="0.7" top="0.75" bottom="0.75" header="0.3" footer="0.3"/>
  <pageSetup paperSize="9"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R23"/>
  <sheetViews>
    <sheetView workbookViewId="0">
      <selection activeCell="Q5" activeCellId="2" sqref="N3:O3 Q3:R3 Q5:R5"/>
    </sheetView>
  </sheetViews>
  <sheetFormatPr defaultRowHeight="14.4" x14ac:dyDescent="0.3"/>
  <cols>
    <col min="1" max="1" width="9" bestFit="1" customWidth="1"/>
    <col min="2" max="2" width="9.44140625" bestFit="1" customWidth="1"/>
    <col min="3" max="3" width="9" bestFit="1" customWidth="1"/>
    <col min="4" max="4" width="9.6640625" customWidth="1"/>
    <col min="5" max="5" width="9" bestFit="1" customWidth="1"/>
    <col min="6" max="6" width="10.109375" bestFit="1" customWidth="1"/>
    <col min="7" max="7" width="15.5546875" customWidth="1"/>
    <col min="8" max="10" width="9" bestFit="1" customWidth="1"/>
    <col min="12" max="12" width="9" bestFit="1" customWidth="1"/>
    <col min="13" max="14" width="9.44140625" bestFit="1" customWidth="1"/>
    <col min="15" max="18" width="9" bestFit="1" customWidth="1"/>
  </cols>
  <sheetData>
    <row r="1" spans="1:18" ht="46.8" thickTop="1" thickBot="1" x14ac:dyDescent="0.35">
      <c r="A1" s="4" t="s">
        <v>23</v>
      </c>
      <c r="B1" s="5" t="s">
        <v>24</v>
      </c>
      <c r="C1" s="6" t="s">
        <v>28</v>
      </c>
      <c r="D1" s="26" t="s">
        <v>29</v>
      </c>
      <c r="E1" s="25" t="s">
        <v>30</v>
      </c>
      <c r="F1" s="26" t="s">
        <v>31</v>
      </c>
      <c r="G1" s="7" t="s">
        <v>32</v>
      </c>
      <c r="H1" s="11" t="s">
        <v>13</v>
      </c>
      <c r="I1" s="10" t="s">
        <v>36</v>
      </c>
      <c r="J1" s="9" t="s">
        <v>37</v>
      </c>
      <c r="L1" s="7" t="s">
        <v>16</v>
      </c>
      <c r="M1" s="7" t="s">
        <v>25</v>
      </c>
      <c r="N1" s="8" t="s">
        <v>26</v>
      </c>
      <c r="O1" s="8" t="s">
        <v>27</v>
      </c>
      <c r="P1" s="8" t="s">
        <v>33</v>
      </c>
      <c r="Q1" s="8" t="s">
        <v>34</v>
      </c>
      <c r="R1" s="8" t="s">
        <v>35</v>
      </c>
    </row>
    <row r="2" spans="1:18" ht="15.6" thickTop="1" thickBot="1" x14ac:dyDescent="0.35">
      <c r="A2" s="13">
        <f>'Таблица 2'!D6</f>
        <v>1.2375171838100376</v>
      </c>
      <c r="B2" s="14">
        <f>'Таблица 2'!E6</f>
        <v>6.0007009360407135E-2</v>
      </c>
      <c r="C2" s="15">
        <f>(A2-$L$2)*(A2-$L$2)</f>
        <v>2.8079892074915205</v>
      </c>
      <c r="D2" s="14">
        <f>(B2-$M$2)*(B2-$M$2)</f>
        <v>5.3985936266344996E-3</v>
      </c>
      <c r="E2" s="16">
        <f>A2-$L$2</f>
        <v>-1.6757055849675744</v>
      </c>
      <c r="F2" s="14">
        <f>B2-$M$2</f>
        <v>-7.3475122501663784E-2</v>
      </c>
      <c r="G2" s="17">
        <f>E2*F2</f>
        <v>0.1231226731322147</v>
      </c>
      <c r="H2" s="18">
        <f>B2-($O$2+$N$2*A2)</f>
        <v>1.1404875353239474E-4</v>
      </c>
      <c r="I2" s="19">
        <f>H2*H2</f>
        <v>1.3007118182292922E-8</v>
      </c>
      <c r="J2" s="24">
        <f>SQRT(4*$R$2+4*$Q$2*A2*A2)</f>
        <v>9.8303369988095926E-3</v>
      </c>
      <c r="K2" s="18"/>
      <c r="L2" s="18">
        <f>SUM(A:A)/COUNT(A:A)</f>
        <v>2.913222768777612</v>
      </c>
      <c r="M2" s="18">
        <f>SUM(B:B)/COUNT(B:B)</f>
        <v>0.13348213186207092</v>
      </c>
      <c r="N2" s="18">
        <f>SUM(G:G)/SUM(C:C)</f>
        <v>4.391533448080031E-2</v>
      </c>
      <c r="O2" s="18">
        <f>M2-N2*L2</f>
        <v>5.5469795541188971E-3</v>
      </c>
      <c r="P2" s="18">
        <f>SUM(C:C)</f>
        <v>6.1852711318022831</v>
      </c>
      <c r="Q2" s="18">
        <f>1/P2*SUM(I:I)/(COUNT(I:I)-2)</f>
        <v>2.0890313085471362E-6</v>
      </c>
      <c r="R2" s="18">
        <f>(1/COUNT(I:I)+L2*L2/P2)*SUM(I:I)/(COUNT(I:I)-2)</f>
        <v>2.0959636928214587E-5</v>
      </c>
    </row>
    <row r="3" spans="1:18" ht="16.8" thickTop="1" thickBot="1" x14ac:dyDescent="0.35">
      <c r="A3" s="13">
        <f>'Таблица 2'!D12</f>
        <v>2.415420597188588</v>
      </c>
      <c r="B3" s="14">
        <f>'Таблица 2'!E12</f>
        <v>0.10914753209949049</v>
      </c>
      <c r="C3" s="15">
        <f t="shared" ref="C3:C5" si="0">(A3-$L$2)*(A3-$L$2)</f>
        <v>0.24780700203874806</v>
      </c>
      <c r="D3" s="14">
        <f t="shared" ref="D3:D5" si="1">(B3-$M$2)*(B3-$M$2)</f>
        <v>5.9217274560497942E-4</v>
      </c>
      <c r="E3" s="20">
        <f>A3-$L$2</f>
        <v>-0.49780217158902396</v>
      </c>
      <c r="F3" s="14">
        <f>B3-$M$2</f>
        <v>-2.4334599762580428E-2</v>
      </c>
      <c r="G3" s="17">
        <f>E3*F3</f>
        <v>1.2113816606562284E-2</v>
      </c>
      <c r="H3" s="18">
        <f>B3-($O$2+$N$2*A3)</f>
        <v>-2.4734508919796866E-3</v>
      </c>
      <c r="I3" s="14">
        <f>H3*H3</f>
        <v>6.1179593150351074E-6</v>
      </c>
      <c r="J3" s="17">
        <f t="shared" ref="J3:J5" si="2">SQRT(4*$R$2+4*$Q$2*A3*A3)</f>
        <v>1.1514787319932185E-2</v>
      </c>
      <c r="K3" s="27"/>
      <c r="L3" s="18"/>
      <c r="M3" s="18"/>
      <c r="N3" s="34" t="s">
        <v>54</v>
      </c>
      <c r="O3" s="34" t="s">
        <v>55</v>
      </c>
      <c r="P3" s="18"/>
      <c r="Q3" s="34" t="s">
        <v>58</v>
      </c>
      <c r="R3" s="34" t="s">
        <v>59</v>
      </c>
    </row>
    <row r="4" spans="1:18" ht="15.6" thickTop="1" thickBot="1" x14ac:dyDescent="0.35">
      <c r="A4" s="13">
        <f>'Таблица 2'!D18</f>
        <v>3.380538620145161</v>
      </c>
      <c r="B4" s="14">
        <f>'Таблица 2'!E18</f>
        <v>0.15809346841444988</v>
      </c>
      <c r="C4" s="15">
        <f t="shared" si="0"/>
        <v>0.21838410493937718</v>
      </c>
      <c r="D4" s="14">
        <f t="shared" si="1"/>
        <v>6.0571788689446464E-4</v>
      </c>
      <c r="E4" s="20">
        <f t="shared" ref="E4:E5" si="3">A4-$L$2</f>
        <v>0.46731585136754905</v>
      </c>
      <c r="F4" s="14">
        <f t="shared" ref="F4:F5" si="4">B4-$M$2</f>
        <v>2.461133655237896E-2</v>
      </c>
      <c r="G4" s="17">
        <f t="shared" ref="G4:G5" si="5">E4*F4</f>
        <v>1.1501267694268253E-2</v>
      </c>
      <c r="H4" s="18">
        <f t="shared" ref="H4:H5" si="6">B4-($O$2+$N$2*A4)</f>
        <v>4.0890046313930839E-3</v>
      </c>
      <c r="I4" s="14">
        <f t="shared" ref="I4:I5" si="7">H4*H4</f>
        <v>1.6719958875554089E-5</v>
      </c>
      <c r="J4" s="17">
        <f t="shared" si="2"/>
        <v>1.3391515691573709E-2</v>
      </c>
      <c r="K4" s="18"/>
      <c r="L4" s="18"/>
      <c r="M4" s="18"/>
      <c r="N4" s="18"/>
      <c r="O4" s="18"/>
      <c r="P4" s="18"/>
      <c r="Q4" s="18">
        <f>SQRT(Q2)</f>
        <v>1.4453481617060771E-3</v>
      </c>
      <c r="R4" s="18">
        <f>SQRT(R2)</f>
        <v>4.5781696045706505E-3</v>
      </c>
    </row>
    <row r="5" spans="1:18" ht="16.8" thickTop="1" thickBot="1" x14ac:dyDescent="0.35">
      <c r="A5" s="13">
        <f>'Таблица 2'!D24</f>
        <v>4.6194146739666611</v>
      </c>
      <c r="B5" s="14">
        <f>'Таблица 2'!E24</f>
        <v>0.20668051757393621</v>
      </c>
      <c r="C5" s="15">
        <f t="shared" si="0"/>
        <v>2.9110908173326369</v>
      </c>
      <c r="D5" s="14">
        <f t="shared" si="1"/>
        <v>5.3580036708230049E-3</v>
      </c>
      <c r="E5" s="20">
        <f t="shared" si="3"/>
        <v>1.7061919051890491</v>
      </c>
      <c r="F5" s="14">
        <f t="shared" si="4"/>
        <v>7.3198385711865294E-2</v>
      </c>
      <c r="G5" s="17">
        <f t="shared" si="5"/>
        <v>0.12489049317449032</v>
      </c>
      <c r="H5" s="18">
        <f t="shared" si="6"/>
        <v>-1.7296024929457088E-3</v>
      </c>
      <c r="I5" s="14">
        <f t="shared" si="7"/>
        <v>2.9915247836040106E-6</v>
      </c>
      <c r="J5" s="17">
        <f t="shared" si="2"/>
        <v>1.6191041864307747E-2</v>
      </c>
      <c r="K5" s="18"/>
      <c r="L5" s="18"/>
      <c r="M5" s="18"/>
      <c r="N5" s="18"/>
      <c r="O5" s="18"/>
      <c r="P5" s="18"/>
      <c r="Q5" s="34" t="s">
        <v>60</v>
      </c>
      <c r="R5" s="34" t="s">
        <v>61</v>
      </c>
    </row>
    <row r="6" spans="1:18" ht="15" thickTop="1" x14ac:dyDescent="0.3">
      <c r="A6" s="13"/>
      <c r="B6" s="14"/>
      <c r="C6" s="15"/>
      <c r="D6" s="14"/>
      <c r="E6" s="20"/>
      <c r="F6" s="14"/>
      <c r="G6" s="17"/>
      <c r="H6" s="18"/>
      <c r="I6" s="14"/>
      <c r="J6" s="17"/>
      <c r="K6" s="18"/>
      <c r="L6" s="18"/>
      <c r="M6" s="18"/>
      <c r="N6" s="18"/>
      <c r="O6" s="18"/>
      <c r="P6" s="18"/>
      <c r="Q6" s="18">
        <f>Q4*2</f>
        <v>2.8906963234121542E-3</v>
      </c>
      <c r="R6" s="18">
        <f>R4*2</f>
        <v>9.1563392091413009E-3</v>
      </c>
    </row>
    <row r="7" spans="1:18" x14ac:dyDescent="0.3">
      <c r="A7" s="13"/>
      <c r="B7" s="14"/>
      <c r="C7" s="15"/>
      <c r="D7" s="14"/>
      <c r="E7" s="20"/>
      <c r="F7" s="14"/>
      <c r="G7" s="17"/>
      <c r="H7" s="18"/>
      <c r="I7" s="14"/>
      <c r="J7" s="17"/>
      <c r="K7" s="18"/>
      <c r="L7" s="18"/>
      <c r="M7" s="18"/>
      <c r="N7" s="18"/>
      <c r="O7" s="18"/>
      <c r="P7" s="18"/>
      <c r="Q7" s="18"/>
      <c r="R7" s="18"/>
    </row>
    <row r="8" spans="1:18" x14ac:dyDescent="0.3">
      <c r="A8" s="13"/>
      <c r="B8" s="14"/>
      <c r="C8" s="15"/>
      <c r="D8" s="14"/>
      <c r="E8" s="20"/>
      <c r="F8" s="14"/>
      <c r="G8" s="17"/>
      <c r="H8" s="18"/>
      <c r="I8" s="14"/>
      <c r="J8" s="17"/>
      <c r="K8" s="18"/>
      <c r="L8" s="18"/>
      <c r="M8" s="18"/>
      <c r="N8" s="18"/>
      <c r="O8" s="18"/>
      <c r="P8" s="18"/>
      <c r="Q8" s="18"/>
      <c r="R8" s="18"/>
    </row>
    <row r="9" spans="1:18" x14ac:dyDescent="0.3">
      <c r="A9" s="13"/>
      <c r="B9" s="14"/>
      <c r="C9" s="15"/>
      <c r="D9" s="14"/>
      <c r="E9" s="20"/>
      <c r="F9" s="14"/>
      <c r="G9" s="17"/>
      <c r="H9" s="18"/>
      <c r="I9" s="14"/>
      <c r="J9" s="17"/>
      <c r="K9" s="18"/>
      <c r="L9" s="18"/>
      <c r="M9" s="18"/>
      <c r="N9" s="18"/>
      <c r="O9" s="18"/>
      <c r="P9" s="18"/>
      <c r="Q9" s="18"/>
      <c r="R9" s="18"/>
    </row>
    <row r="10" spans="1:18" x14ac:dyDescent="0.3">
      <c r="A10" s="13"/>
      <c r="B10" s="14"/>
      <c r="C10" s="15"/>
      <c r="D10" s="14"/>
      <c r="E10" s="20"/>
      <c r="F10" s="14"/>
      <c r="G10" s="17"/>
      <c r="H10" s="18"/>
      <c r="I10" s="14"/>
      <c r="J10" s="17"/>
    </row>
    <row r="11" spans="1:18" x14ac:dyDescent="0.3">
      <c r="A11" s="13"/>
      <c r="B11" s="14"/>
      <c r="C11" s="15"/>
      <c r="D11" s="14"/>
      <c r="E11" s="20"/>
      <c r="F11" s="14"/>
      <c r="G11" s="17"/>
      <c r="H11" s="18"/>
      <c r="I11" s="14"/>
      <c r="J11" s="17"/>
    </row>
    <row r="12" spans="1:18" x14ac:dyDescent="0.3">
      <c r="A12" s="13"/>
      <c r="B12" s="14"/>
      <c r="C12" s="15"/>
      <c r="D12" s="14"/>
      <c r="E12" s="20"/>
      <c r="F12" s="14"/>
      <c r="G12" s="17"/>
      <c r="H12" s="18"/>
      <c r="I12" s="14"/>
      <c r="J12" s="17"/>
    </row>
    <row r="13" spans="1:18" x14ac:dyDescent="0.3">
      <c r="A13" s="13"/>
      <c r="B13" s="14"/>
      <c r="C13" s="15"/>
      <c r="D13" s="14"/>
      <c r="E13" s="20"/>
      <c r="F13" s="14"/>
      <c r="G13" s="17"/>
      <c r="H13" s="18"/>
      <c r="I13" s="14"/>
      <c r="J13" s="17"/>
    </row>
    <row r="14" spans="1:18" x14ac:dyDescent="0.3">
      <c r="A14" s="13"/>
      <c r="B14" s="14"/>
      <c r="C14" s="15"/>
      <c r="D14" s="14"/>
      <c r="E14" s="20"/>
      <c r="F14" s="14"/>
      <c r="G14" s="17"/>
      <c r="H14" s="18"/>
      <c r="I14" s="14"/>
      <c r="J14" s="17"/>
    </row>
    <row r="15" spans="1:18" x14ac:dyDescent="0.3">
      <c r="A15" s="13"/>
      <c r="B15" s="14"/>
      <c r="C15" s="15"/>
      <c r="D15" s="14"/>
      <c r="E15" s="20"/>
      <c r="F15" s="14"/>
      <c r="G15" s="17"/>
      <c r="H15" s="18"/>
      <c r="I15" s="14"/>
      <c r="J15" s="17"/>
    </row>
    <row r="16" spans="1:18" x14ac:dyDescent="0.3">
      <c r="A16" s="13"/>
      <c r="B16" s="14"/>
      <c r="C16" s="15"/>
      <c r="D16" s="14"/>
      <c r="E16" s="20"/>
      <c r="F16" s="14"/>
      <c r="G16" s="17"/>
      <c r="H16" s="18"/>
      <c r="I16" s="14"/>
      <c r="J16" s="17"/>
    </row>
    <row r="17" spans="1:10" x14ac:dyDescent="0.3">
      <c r="A17" s="13"/>
      <c r="B17" s="14"/>
      <c r="C17" s="15"/>
      <c r="D17" s="14"/>
      <c r="E17" s="20"/>
      <c r="F17" s="14"/>
      <c r="G17" s="17"/>
      <c r="H17" s="18"/>
      <c r="I17" s="14"/>
      <c r="J17" s="17"/>
    </row>
    <row r="18" spans="1:10" x14ac:dyDescent="0.3">
      <c r="A18" s="13"/>
      <c r="B18" s="14"/>
      <c r="C18" s="15"/>
      <c r="D18" s="14"/>
      <c r="E18" s="20"/>
      <c r="F18" s="14"/>
      <c r="G18" s="17"/>
      <c r="H18" s="18"/>
      <c r="I18" s="14"/>
      <c r="J18" s="17"/>
    </row>
    <row r="19" spans="1:10" x14ac:dyDescent="0.3">
      <c r="A19" s="13"/>
      <c r="B19" s="14"/>
      <c r="C19" s="15"/>
      <c r="D19" s="14"/>
      <c r="E19" s="20"/>
      <c r="F19" s="14"/>
      <c r="G19" s="17"/>
      <c r="H19" s="18"/>
      <c r="I19" s="14"/>
      <c r="J19" s="17"/>
    </row>
    <row r="20" spans="1:10" x14ac:dyDescent="0.3">
      <c r="A20" s="13"/>
      <c r="B20" s="14"/>
      <c r="C20" s="15"/>
      <c r="D20" s="14"/>
      <c r="E20" s="20"/>
      <c r="F20" s="14"/>
      <c r="G20" s="17"/>
      <c r="H20" s="18"/>
      <c r="I20" s="14"/>
      <c r="J20" s="17"/>
    </row>
    <row r="21" spans="1:10" x14ac:dyDescent="0.3">
      <c r="A21" s="13"/>
      <c r="B21" s="14"/>
      <c r="C21" s="15"/>
      <c r="D21" s="14"/>
      <c r="E21" s="20"/>
      <c r="F21" s="14"/>
      <c r="G21" s="17"/>
      <c r="H21" s="18"/>
      <c r="I21" s="14"/>
      <c r="J21" s="17"/>
    </row>
    <row r="22" spans="1:10" x14ac:dyDescent="0.3">
      <c r="A22" s="13"/>
      <c r="B22" s="14"/>
      <c r="C22" s="15"/>
      <c r="D22" s="14"/>
      <c r="E22" s="20"/>
      <c r="F22" s="14"/>
      <c r="G22" s="17"/>
      <c r="H22" s="18"/>
      <c r="I22" s="14"/>
      <c r="J22" s="17"/>
    </row>
    <row r="23" spans="1:10" x14ac:dyDescent="0.3">
      <c r="A23" s="13"/>
      <c r="B23" s="14"/>
      <c r="C23" s="15"/>
      <c r="D23" s="14"/>
      <c r="E23" s="20"/>
      <c r="F23" s="14"/>
      <c r="G23" s="17"/>
      <c r="H23" s="18"/>
      <c r="I23" s="14"/>
      <c r="J23" s="17"/>
    </row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R23"/>
  <sheetViews>
    <sheetView workbookViewId="0">
      <selection activeCell="H25" sqref="H25"/>
    </sheetView>
  </sheetViews>
  <sheetFormatPr defaultRowHeight="14.4" x14ac:dyDescent="0.3"/>
  <cols>
    <col min="1" max="1" width="9" bestFit="1" customWidth="1"/>
    <col min="2" max="2" width="9.44140625" bestFit="1" customWidth="1"/>
    <col min="3" max="3" width="9" bestFit="1" customWidth="1"/>
    <col min="4" max="4" width="9.6640625" customWidth="1"/>
    <col min="5" max="5" width="9" bestFit="1" customWidth="1"/>
    <col min="6" max="6" width="10.109375" bestFit="1" customWidth="1"/>
    <col min="7" max="7" width="15.5546875" customWidth="1"/>
    <col min="8" max="10" width="9" bestFit="1" customWidth="1"/>
    <col min="12" max="12" width="9" bestFit="1" customWidth="1"/>
    <col min="13" max="14" width="9.44140625" bestFit="1" customWidth="1"/>
    <col min="15" max="18" width="9" bestFit="1" customWidth="1"/>
  </cols>
  <sheetData>
    <row r="1" spans="1:18" ht="46.8" thickTop="1" thickBot="1" x14ac:dyDescent="0.35">
      <c r="A1" s="4" t="s">
        <v>23</v>
      </c>
      <c r="B1" s="5" t="s">
        <v>24</v>
      </c>
      <c r="C1" s="6" t="s">
        <v>28</v>
      </c>
      <c r="D1" s="26" t="s">
        <v>29</v>
      </c>
      <c r="E1" s="25" t="s">
        <v>30</v>
      </c>
      <c r="F1" s="26" t="s">
        <v>31</v>
      </c>
      <c r="G1" s="7" t="s">
        <v>32</v>
      </c>
      <c r="H1" s="11" t="s">
        <v>13</v>
      </c>
      <c r="I1" s="10" t="s">
        <v>36</v>
      </c>
      <c r="J1" s="9" t="s">
        <v>37</v>
      </c>
      <c r="L1" s="7" t="s">
        <v>16</v>
      </c>
      <c r="M1" s="7" t="s">
        <v>25</v>
      </c>
      <c r="N1" s="8" t="s">
        <v>26</v>
      </c>
      <c r="O1" s="8" t="s">
        <v>27</v>
      </c>
      <c r="P1" s="8" t="s">
        <v>33</v>
      </c>
      <c r="Q1" s="8" t="s">
        <v>34</v>
      </c>
      <c r="R1" s="8" t="s">
        <v>35</v>
      </c>
    </row>
    <row r="2" spans="1:18" ht="15.6" thickTop="1" thickBot="1" x14ac:dyDescent="0.35">
      <c r="A2" s="13">
        <f>'Таблица 2'!D7</f>
        <v>0.89867059017687589</v>
      </c>
      <c r="B2" s="14">
        <f>'Таблица 2'!E7</f>
        <v>6.0054869069831658E-2</v>
      </c>
      <c r="C2" s="15">
        <f>(A2-$L$2)*(A2-$L$2)</f>
        <v>1.3932838361486861</v>
      </c>
      <c r="D2" s="14">
        <f>(B2-$M$2)*(B2-$M$2)</f>
        <v>5.4369720055571884E-3</v>
      </c>
      <c r="E2" s="16">
        <f>A2-$L$2</f>
        <v>-1.1803744474312743</v>
      </c>
      <c r="F2" s="14">
        <f>B2-$M$2</f>
        <v>-7.3735825794231047E-2</v>
      </c>
      <c r="G2" s="17">
        <f>E2*F2</f>
        <v>8.7035884627754176E-2</v>
      </c>
      <c r="H2" s="18">
        <f>B2-($O$2+$N$2*A2)</f>
        <v>-1.429707622352748E-3</v>
      </c>
      <c r="I2" s="19">
        <f>H2*H2</f>
        <v>2.044063885413548E-6</v>
      </c>
      <c r="J2" s="24">
        <f>SQRT(4*$R$2+4*$Q$2*A2*A2)</f>
        <v>5.2758957737461852E-3</v>
      </c>
      <c r="K2" s="18"/>
      <c r="L2" s="18">
        <f>SUM(A:A)/COUNT(A:A)</f>
        <v>2.0790450376081502</v>
      </c>
      <c r="M2" s="18">
        <f>SUM(B:B)/COUNT(B:B)</f>
        <v>0.1337906948640627</v>
      </c>
      <c r="N2" s="18">
        <f>SUM(G:G)/SUM(C:C)</f>
        <v>6.1256932771825548E-2</v>
      </c>
      <c r="O2" s="18">
        <f>M2-N2*L2</f>
        <v>6.4347727657027287E-3</v>
      </c>
      <c r="P2" s="18">
        <f>SUM(C:C)</f>
        <v>3.2092798581500768</v>
      </c>
      <c r="Q2" s="18">
        <f>1/P2*SUM(I:I)/(COUNT(I:I)-2)</f>
        <v>1.1730192536355427E-6</v>
      </c>
      <c r="R2" s="18">
        <f>(1/COUNT(I:I)+L2*L2/P2)*SUM(I:I)/(COUNT(I:I)-2)</f>
        <v>6.0114283472740416E-6</v>
      </c>
    </row>
    <row r="3" spans="1:18" ht="16.8" thickTop="1" thickBot="1" x14ac:dyDescent="0.35">
      <c r="A3" s="13">
        <f>'Таблица 2'!D13</f>
        <v>1.6430136166187859</v>
      </c>
      <c r="B3" s="14">
        <f>'Таблица 2'!E13</f>
        <v>0.10934652190304582</v>
      </c>
      <c r="C3" s="15">
        <f t="shared" ref="C3:C5" si="0">(A3-$L$2)*(A3-$L$2)</f>
        <v>0.19012340009000425</v>
      </c>
      <c r="D3" s="14">
        <f t="shared" ref="D3:D5" si="1">(B3-$M$2)*(B3-$M$2)</f>
        <v>5.9751759174810862E-4</v>
      </c>
      <c r="E3" s="20">
        <f>A3-$L$2</f>
        <v>-0.43603142098936432</v>
      </c>
      <c r="F3" s="14">
        <f>B3-$M$2</f>
        <v>-2.4444172961016877E-2</v>
      </c>
      <c r="G3" s="17">
        <f>E3*F3</f>
        <v>1.0658427471101985E-2</v>
      </c>
      <c r="H3" s="18">
        <f>B3-($O$2+$N$2*A3)</f>
        <v>2.2657744809321673E-3</v>
      </c>
      <c r="I3" s="14">
        <f>H3*H3</f>
        <v>5.1337339984434323E-6</v>
      </c>
      <c r="J3" s="17">
        <f t="shared" ref="J3:J5" si="2">SQRT(4*$R$2+4*$Q$2*A3*A3)</f>
        <v>6.0590383674367929E-3</v>
      </c>
      <c r="K3" s="27"/>
      <c r="L3" s="18"/>
      <c r="M3" s="18"/>
      <c r="N3" s="34" t="s">
        <v>54</v>
      </c>
      <c r="O3" s="34" t="s">
        <v>55</v>
      </c>
      <c r="P3" s="18"/>
      <c r="Q3" s="34" t="s">
        <v>58</v>
      </c>
      <c r="R3" s="34" t="s">
        <v>59</v>
      </c>
    </row>
    <row r="4" spans="1:18" ht="15.6" thickTop="1" thickBot="1" x14ac:dyDescent="0.35">
      <c r="A4" s="13">
        <f>'Таблица 2'!D19</f>
        <v>2.487567689480795</v>
      </c>
      <c r="B4" s="14">
        <f>'Таблица 2'!E19</f>
        <v>0.15842744222143115</v>
      </c>
      <c r="C4" s="15">
        <f t="shared" si="0"/>
        <v>0.16689075709305815</v>
      </c>
      <c r="D4" s="14">
        <f t="shared" si="1"/>
        <v>6.069693203508015E-4</v>
      </c>
      <c r="E4" s="20">
        <f t="shared" ref="E4:E5" si="3">A4-$L$2</f>
        <v>0.4085226518726448</v>
      </c>
      <c r="F4" s="14">
        <f t="shared" ref="F4:F5" si="4">B4-$M$2</f>
        <v>2.4636747357368455E-2</v>
      </c>
      <c r="G4" s="17">
        <f t="shared" ref="G4:G5" si="5">E4*F4</f>
        <v>1.0064669363948535E-2</v>
      </c>
      <c r="H4" s="18">
        <f t="shared" ref="H4:H5" si="6">B4-($O$2+$N$2*A4)</f>
        <v>-3.8809726416205725E-4</v>
      </c>
      <c r="I4" s="14">
        <f t="shared" ref="I4:I5" si="7">H4*H4</f>
        <v>1.5061948645007365E-7</v>
      </c>
      <c r="J4" s="17">
        <f t="shared" si="2"/>
        <v>7.2856196137518897E-3</v>
      </c>
      <c r="K4" s="18"/>
      <c r="L4" s="18"/>
      <c r="M4" s="18"/>
      <c r="N4" s="18"/>
      <c r="O4" s="18"/>
      <c r="P4" s="18"/>
      <c r="Q4" s="18">
        <f>SQRT(Q2)</f>
        <v>1.0830601338963329E-3</v>
      </c>
      <c r="R4" s="18">
        <f>SQRT(R2)</f>
        <v>2.4518214346224403E-3</v>
      </c>
    </row>
    <row r="5" spans="1:18" ht="16.8" thickTop="1" thickBot="1" x14ac:dyDescent="0.35">
      <c r="A5" s="13">
        <f>'Таблица 2'!D25</f>
        <v>3.2869282541561442</v>
      </c>
      <c r="B5" s="14">
        <f>'Таблица 2'!E25</f>
        <v>0.20733394626194215</v>
      </c>
      <c r="C5" s="15">
        <f t="shared" si="0"/>
        <v>1.4589818648183281</v>
      </c>
      <c r="D5" s="14">
        <f t="shared" si="1"/>
        <v>5.4086098261716987E-3</v>
      </c>
      <c r="E5" s="20">
        <f t="shared" si="3"/>
        <v>1.207883216547994</v>
      </c>
      <c r="F5" s="14">
        <f t="shared" si="4"/>
        <v>7.3543251397879456E-2</v>
      </c>
      <c r="G5" s="17">
        <f t="shared" si="5"/>
        <v>8.8831659053868389E-2</v>
      </c>
      <c r="H5" s="18">
        <f t="shared" si="6"/>
        <v>-4.4796959441742445E-4</v>
      </c>
      <c r="I5" s="14">
        <f t="shared" si="7"/>
        <v>2.0067675752251176E-7</v>
      </c>
      <c r="J5" s="17">
        <f t="shared" si="2"/>
        <v>8.6451392009023846E-3</v>
      </c>
      <c r="K5" s="18"/>
      <c r="L5" s="18"/>
      <c r="M5" s="18"/>
      <c r="N5" s="18"/>
      <c r="O5" s="18"/>
      <c r="P5" s="18"/>
      <c r="Q5" s="34" t="s">
        <v>60</v>
      </c>
      <c r="R5" s="34" t="s">
        <v>61</v>
      </c>
    </row>
    <row r="6" spans="1:18" ht="15" thickTop="1" x14ac:dyDescent="0.3">
      <c r="A6" s="13"/>
      <c r="B6" s="14"/>
      <c r="C6" s="15"/>
      <c r="D6" s="14"/>
      <c r="E6" s="20"/>
      <c r="F6" s="14"/>
      <c r="G6" s="17"/>
      <c r="H6" s="18"/>
      <c r="I6" s="14"/>
      <c r="J6" s="17"/>
      <c r="K6" s="18"/>
      <c r="L6" s="18"/>
      <c r="M6" s="18"/>
      <c r="N6" s="18"/>
      <c r="O6" s="18"/>
      <c r="P6" s="18"/>
      <c r="Q6" s="18">
        <f>Q4*2</f>
        <v>2.1661202677926658E-3</v>
      </c>
      <c r="R6" s="18">
        <f>R4*2</f>
        <v>4.9036428692448807E-3</v>
      </c>
    </row>
    <row r="7" spans="1:18" x14ac:dyDescent="0.3">
      <c r="A7" s="13"/>
      <c r="B7" s="14"/>
      <c r="C7" s="15"/>
      <c r="D7" s="14"/>
      <c r="E7" s="20"/>
      <c r="F7" s="14"/>
      <c r="G7" s="17"/>
      <c r="H7" s="18"/>
      <c r="I7" s="14"/>
      <c r="J7" s="17"/>
      <c r="K7" s="18"/>
      <c r="L7" s="18"/>
      <c r="M7" s="18"/>
      <c r="N7" s="18"/>
      <c r="O7" s="18"/>
      <c r="P7" s="18"/>
      <c r="Q7" s="18"/>
      <c r="R7" s="18"/>
    </row>
    <row r="8" spans="1:18" x14ac:dyDescent="0.3">
      <c r="A8" s="13"/>
      <c r="B8" s="14"/>
      <c r="C8" s="15"/>
      <c r="D8" s="14"/>
      <c r="E8" s="20"/>
      <c r="F8" s="14"/>
      <c r="G8" s="17"/>
      <c r="H8" s="18"/>
      <c r="I8" s="14"/>
      <c r="J8" s="17"/>
      <c r="K8" s="18"/>
      <c r="L8" s="18"/>
      <c r="M8" s="18"/>
      <c r="N8" s="18"/>
      <c r="O8" s="18"/>
      <c r="P8" s="18"/>
      <c r="Q8" s="18"/>
      <c r="R8" s="18"/>
    </row>
    <row r="9" spans="1:18" x14ac:dyDescent="0.3">
      <c r="A9" s="13"/>
      <c r="B9" s="14"/>
      <c r="C9" s="15"/>
      <c r="D9" s="14"/>
      <c r="E9" s="20"/>
      <c r="F9" s="14"/>
      <c r="G9" s="17"/>
      <c r="H9" s="18"/>
      <c r="I9" s="14"/>
      <c r="J9" s="17"/>
      <c r="K9" s="18"/>
      <c r="L9" s="18"/>
      <c r="M9" s="18"/>
      <c r="N9" s="18"/>
      <c r="O9" s="18"/>
      <c r="P9" s="18"/>
      <c r="Q9" s="18"/>
      <c r="R9" s="18"/>
    </row>
    <row r="10" spans="1:18" x14ac:dyDescent="0.3">
      <c r="A10" s="13"/>
      <c r="B10" s="14"/>
      <c r="C10" s="15"/>
      <c r="D10" s="14"/>
      <c r="E10" s="20"/>
      <c r="F10" s="14"/>
      <c r="G10" s="17"/>
      <c r="H10" s="18"/>
      <c r="I10" s="14"/>
      <c r="J10" s="17"/>
    </row>
    <row r="11" spans="1:18" x14ac:dyDescent="0.3">
      <c r="A11" s="13"/>
      <c r="B11" s="14"/>
      <c r="C11" s="15"/>
      <c r="D11" s="14"/>
      <c r="E11" s="20"/>
      <c r="F11" s="14"/>
      <c r="G11" s="17"/>
      <c r="H11" s="18"/>
      <c r="I11" s="14"/>
      <c r="J11" s="17"/>
    </row>
    <row r="12" spans="1:18" x14ac:dyDescent="0.3">
      <c r="A12" s="13"/>
      <c r="B12" s="14"/>
      <c r="C12" s="15"/>
      <c r="D12" s="14"/>
      <c r="E12" s="20"/>
      <c r="F12" s="14"/>
      <c r="G12" s="17"/>
      <c r="H12" s="18"/>
      <c r="I12" s="14"/>
      <c r="J12" s="17"/>
    </row>
    <row r="13" spans="1:18" x14ac:dyDescent="0.3">
      <c r="A13" s="13"/>
      <c r="B13" s="14"/>
      <c r="C13" s="15"/>
      <c r="D13" s="14"/>
      <c r="E13" s="20"/>
      <c r="F13" s="14"/>
      <c r="G13" s="17"/>
      <c r="H13" s="18"/>
      <c r="I13" s="14"/>
      <c r="J13" s="17"/>
    </row>
    <row r="14" spans="1:18" x14ac:dyDescent="0.3">
      <c r="A14" s="13"/>
      <c r="B14" s="14"/>
      <c r="C14" s="15"/>
      <c r="D14" s="14"/>
      <c r="E14" s="20"/>
      <c r="F14" s="14"/>
      <c r="G14" s="17"/>
      <c r="H14" s="18"/>
      <c r="I14" s="14"/>
      <c r="J14" s="17"/>
    </row>
    <row r="15" spans="1:18" x14ac:dyDescent="0.3">
      <c r="A15" s="13"/>
      <c r="B15" s="14"/>
      <c r="C15" s="15"/>
      <c r="D15" s="14"/>
      <c r="E15" s="20"/>
      <c r="F15" s="14"/>
      <c r="G15" s="17"/>
      <c r="H15" s="18"/>
      <c r="I15" s="14"/>
      <c r="J15" s="17"/>
    </row>
    <row r="16" spans="1:18" x14ac:dyDescent="0.3">
      <c r="A16" s="13"/>
      <c r="B16" s="14"/>
      <c r="C16" s="15"/>
      <c r="D16" s="14"/>
      <c r="E16" s="20"/>
      <c r="F16" s="14"/>
      <c r="G16" s="17"/>
      <c r="H16" s="18"/>
      <c r="I16" s="14"/>
      <c r="J16" s="17"/>
    </row>
    <row r="17" spans="1:10" x14ac:dyDescent="0.3">
      <c r="A17" s="13"/>
      <c r="B17" s="14"/>
      <c r="C17" s="15"/>
      <c r="D17" s="14"/>
      <c r="E17" s="20"/>
      <c r="F17" s="14"/>
      <c r="G17" s="17"/>
      <c r="H17" s="18"/>
      <c r="I17" s="14"/>
      <c r="J17" s="17"/>
    </row>
    <row r="18" spans="1:10" x14ac:dyDescent="0.3">
      <c r="A18" s="13"/>
      <c r="B18" s="14"/>
      <c r="C18" s="15"/>
      <c r="D18" s="14"/>
      <c r="E18" s="20"/>
      <c r="F18" s="14"/>
      <c r="G18" s="17"/>
      <c r="H18" s="18"/>
      <c r="I18" s="14"/>
      <c r="J18" s="17"/>
    </row>
    <row r="19" spans="1:10" x14ac:dyDescent="0.3">
      <c r="A19" s="13"/>
      <c r="B19" s="14"/>
      <c r="C19" s="15"/>
      <c r="D19" s="14"/>
      <c r="E19" s="20"/>
      <c r="F19" s="14"/>
      <c r="G19" s="17"/>
      <c r="H19" s="18"/>
      <c r="I19" s="14"/>
      <c r="J19" s="17"/>
    </row>
    <row r="20" spans="1:10" x14ac:dyDescent="0.3">
      <c r="A20" s="13"/>
      <c r="B20" s="14"/>
      <c r="C20" s="15"/>
      <c r="D20" s="14"/>
      <c r="E20" s="20"/>
      <c r="F20" s="14"/>
      <c r="G20" s="17"/>
      <c r="H20" s="18"/>
      <c r="I20" s="14"/>
      <c r="J20" s="17"/>
    </row>
    <row r="21" spans="1:10" x14ac:dyDescent="0.3">
      <c r="A21" s="13"/>
      <c r="B21" s="14"/>
      <c r="C21" s="15"/>
      <c r="D21" s="14"/>
      <c r="E21" s="20"/>
      <c r="F21" s="14"/>
      <c r="G21" s="17"/>
      <c r="H21" s="18"/>
      <c r="I21" s="14"/>
      <c r="J21" s="17"/>
    </row>
    <row r="22" spans="1:10" x14ac:dyDescent="0.3">
      <c r="A22" s="13"/>
      <c r="B22" s="14"/>
      <c r="C22" s="15"/>
      <c r="D22" s="14"/>
      <c r="E22" s="20"/>
      <c r="F22" s="14"/>
      <c r="G22" s="17"/>
      <c r="H22" s="18"/>
      <c r="I22" s="14"/>
      <c r="J22" s="17"/>
    </row>
    <row r="23" spans="1:10" x14ac:dyDescent="0.3">
      <c r="A23" s="13"/>
      <c r="B23" s="14"/>
      <c r="C23" s="15"/>
      <c r="D23" s="14"/>
      <c r="E23" s="20"/>
      <c r="F23" s="14"/>
      <c r="G23" s="17"/>
      <c r="H23" s="18"/>
      <c r="I23" s="14"/>
      <c r="J23" s="17"/>
    </row>
  </sheetData>
  <pageMargins left="0.7" right="0.7" top="0.75" bottom="0.75" header="0.3" footer="0.3"/>
  <pageSetup paperSize="9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R23"/>
  <sheetViews>
    <sheetView workbookViewId="0">
      <selection activeCell="K11" sqref="K11"/>
    </sheetView>
  </sheetViews>
  <sheetFormatPr defaultRowHeight="14.4" x14ac:dyDescent="0.3"/>
  <cols>
    <col min="1" max="1" width="9" bestFit="1" customWidth="1"/>
    <col min="2" max="2" width="9.44140625" bestFit="1" customWidth="1"/>
    <col min="3" max="3" width="9" bestFit="1" customWidth="1"/>
    <col min="4" max="4" width="9.6640625" customWidth="1"/>
    <col min="5" max="5" width="9" bestFit="1" customWidth="1"/>
    <col min="6" max="6" width="10.109375" bestFit="1" customWidth="1"/>
    <col min="7" max="7" width="15.5546875" customWidth="1"/>
    <col min="8" max="10" width="9" bestFit="1" customWidth="1"/>
    <col min="12" max="12" width="9" bestFit="1" customWidth="1"/>
    <col min="13" max="14" width="9.44140625" bestFit="1" customWidth="1"/>
    <col min="15" max="18" width="9" bestFit="1" customWidth="1"/>
  </cols>
  <sheetData>
    <row r="1" spans="1:18" ht="46.8" thickTop="1" thickBot="1" x14ac:dyDescent="0.35">
      <c r="A1" s="4" t="s">
        <v>23</v>
      </c>
      <c r="B1" s="5" t="s">
        <v>24</v>
      </c>
      <c r="C1" s="6" t="s">
        <v>28</v>
      </c>
      <c r="D1" s="26" t="s">
        <v>29</v>
      </c>
      <c r="E1" s="25" t="s">
        <v>30</v>
      </c>
      <c r="F1" s="26" t="s">
        <v>31</v>
      </c>
      <c r="G1" s="7" t="s">
        <v>32</v>
      </c>
      <c r="H1" s="11" t="s">
        <v>13</v>
      </c>
      <c r="I1" s="10" t="s">
        <v>36</v>
      </c>
      <c r="J1" s="9" t="s">
        <v>37</v>
      </c>
      <c r="L1" s="7" t="s">
        <v>16</v>
      </c>
      <c r="M1" s="7" t="s">
        <v>25</v>
      </c>
      <c r="N1" s="8" t="s">
        <v>26</v>
      </c>
      <c r="O1" s="8" t="s">
        <v>27</v>
      </c>
      <c r="P1" s="8" t="s">
        <v>33</v>
      </c>
      <c r="Q1" s="8" t="s">
        <v>34</v>
      </c>
      <c r="R1" s="8" t="s">
        <v>35</v>
      </c>
    </row>
    <row r="2" spans="1:18" ht="15.6" thickTop="1" thickBot="1" x14ac:dyDescent="0.35">
      <c r="A2" s="13">
        <f>'Таблица 2'!D8</f>
        <v>0.70126002791404463</v>
      </c>
      <c r="B2" s="14">
        <f>'Таблица 2'!E8</f>
        <v>6.0082751929877345E-2</v>
      </c>
      <c r="C2" s="15">
        <f>(A2-$L$2)*(A2-$L$2)</f>
        <v>0.9460166515340559</v>
      </c>
      <c r="D2" s="14">
        <f>(B2-$M$2)*(B2-$M$2)</f>
        <v>5.455685571200691E-3</v>
      </c>
      <c r="E2" s="16">
        <f>A2-$L$2</f>
        <v>-0.97263387332235962</v>
      </c>
      <c r="F2" s="14">
        <f>B2-$M$2</f>
        <v>-7.3862612810546388E-2</v>
      </c>
      <c r="G2" s="17">
        <f>E2*F2</f>
        <v>7.1841279191631469E-2</v>
      </c>
      <c r="H2" s="18">
        <f>B2-($O$2+$N$2*A2)</f>
        <v>3.2476677339351723E-3</v>
      </c>
      <c r="I2" s="19">
        <f>H2*H2</f>
        <v>1.0547345710043618E-5</v>
      </c>
      <c r="J2" s="24">
        <f>SQRT(4*$R$2+4*$Q$2*A2*A2)</f>
        <v>1.5938095931175084E-2</v>
      </c>
      <c r="K2" s="18"/>
      <c r="L2" s="18">
        <f>SUM(A:A)/COUNT(A:A)</f>
        <v>1.6738939012364042</v>
      </c>
      <c r="M2" s="18">
        <f>SUM(B:B)/COUNT(B:B)</f>
        <v>0.13394536474042373</v>
      </c>
      <c r="N2" s="18">
        <f>SUM(G:G)/SUM(C:C)</f>
        <v>7.9279863327281985E-2</v>
      </c>
      <c r="O2" s="18">
        <f>M2-N2*L2</f>
        <v>1.2392850260307675E-3</v>
      </c>
      <c r="P2" s="18">
        <f>SUM(C:C)</f>
        <v>1.9156090162291832</v>
      </c>
      <c r="Q2" s="18">
        <f>1/P2*SUM(I:I)/(COUNT(I:I)-2)</f>
        <v>1.6833461311470871E-5</v>
      </c>
      <c r="R2" s="18">
        <f>(1/COUNT(I:I)+L2*L2/P2)*SUM(I:I)/(COUNT(I:I)-2)</f>
        <v>5.5227607825627468E-5</v>
      </c>
    </row>
    <row r="3" spans="1:18" ht="16.8" thickTop="1" thickBot="1" x14ac:dyDescent="0.35">
      <c r="A3" s="13">
        <f>'Таблица 2'!D14</f>
        <v>1.4044572009781042</v>
      </c>
      <c r="B3" s="14">
        <f>'Таблица 2'!E14</f>
        <v>0.10940797952251241</v>
      </c>
      <c r="C3" s="15">
        <f t="shared" ref="C3:C5" si="0">(A3-$L$2)*(A3-$L$2)</f>
        <v>7.2596135446081012E-2</v>
      </c>
      <c r="D3" s="14">
        <f t="shared" ref="D3:D5" si="1">(B3-$M$2)*(B3-$M$2)</f>
        <v>6.0208327333217309E-4</v>
      </c>
      <c r="E3" s="20">
        <f>A3-$L$2</f>
        <v>-0.26943670025830002</v>
      </c>
      <c r="F3" s="14">
        <f>B3-$M$2</f>
        <v>-2.4537385217911323E-2</v>
      </c>
      <c r="G3" s="17">
        <f>E3*F3</f>
        <v>6.6112721060808148E-3</v>
      </c>
      <c r="H3" s="18">
        <f>B3-($O$2+$N$2*A3)</f>
        <v>-3.1764804460794605E-3</v>
      </c>
      <c r="I3" s="14">
        <f>H3*H3</f>
        <v>1.0090028024325168E-5</v>
      </c>
      <c r="J3" s="17">
        <f t="shared" ref="J3:J5" si="2">SQRT(4*$R$2+4*$Q$2*A3*A3)</f>
        <v>1.88076166227471E-2</v>
      </c>
      <c r="K3" s="27"/>
      <c r="L3" s="18"/>
      <c r="M3" s="18"/>
      <c r="N3" s="34" t="s">
        <v>54</v>
      </c>
      <c r="O3" s="34" t="s">
        <v>55</v>
      </c>
      <c r="P3" s="18"/>
      <c r="Q3" s="34" t="s">
        <v>58</v>
      </c>
      <c r="R3" s="34" t="s">
        <v>59</v>
      </c>
    </row>
    <row r="4" spans="1:18" ht="15.6" thickTop="1" thickBot="1" x14ac:dyDescent="0.35">
      <c r="A4" s="13">
        <f>'Таблица 2'!D20</f>
        <v>2.0443033968842896</v>
      </c>
      <c r="B4" s="14">
        <f>'Таблица 2'!E20</f>
        <v>0.1585932243966551</v>
      </c>
      <c r="C4" s="15">
        <f t="shared" si="0"/>
        <v>0.13720319446612084</v>
      </c>
      <c r="D4" s="14">
        <f t="shared" si="1"/>
        <v>6.075169856332779E-4</v>
      </c>
      <c r="E4" s="20">
        <f t="shared" ref="E4:E5" si="3">A4-$L$2</f>
        <v>0.37040949564788539</v>
      </c>
      <c r="F4" s="14">
        <f t="shared" ref="F4:F5" si="4">B4-$M$2</f>
        <v>2.4647859656231369E-2</v>
      </c>
      <c r="G4" s="17">
        <f t="shared" ref="G4:G5" si="5">E4*F4</f>
        <v>9.1298012640645236E-3</v>
      </c>
      <c r="H4" s="18">
        <f t="shared" ref="H4:H5" si="6">B4-($O$2+$N$2*A4)</f>
        <v>-4.718154533860458E-3</v>
      </c>
      <c r="I4" s="14">
        <f t="shared" ref="I4:I5" si="7">H4*H4</f>
        <v>2.2260982205387997E-5</v>
      </c>
      <c r="J4" s="17">
        <f t="shared" si="2"/>
        <v>2.2412283391670118E-2</v>
      </c>
      <c r="K4" s="18"/>
      <c r="L4" s="18"/>
      <c r="M4" s="18"/>
      <c r="N4" s="18"/>
      <c r="O4" s="18"/>
      <c r="P4" s="18"/>
      <c r="Q4" s="18">
        <f>SQRT(Q2)</f>
        <v>4.1028601379368111E-3</v>
      </c>
      <c r="R4" s="18">
        <f>SQRT(R2)</f>
        <v>7.4315279603610097E-3</v>
      </c>
    </row>
    <row r="5" spans="1:18" ht="16.8" thickTop="1" thickBot="1" x14ac:dyDescent="0.35">
      <c r="A5" s="13">
        <f>'Таблица 2'!D26</f>
        <v>2.5455549791691783</v>
      </c>
      <c r="B5" s="14">
        <f>'Таблица 2'!E26</f>
        <v>0.20769750311265009</v>
      </c>
      <c r="C5" s="15">
        <f t="shared" si="0"/>
        <v>0.75979303478292559</v>
      </c>
      <c r="D5" s="14">
        <f t="shared" si="1"/>
        <v>5.4393779144760231E-3</v>
      </c>
      <c r="E5" s="20">
        <f t="shared" si="3"/>
        <v>0.87166107793277403</v>
      </c>
      <c r="F5" s="14">
        <f t="shared" si="4"/>
        <v>7.3752138372226356E-2</v>
      </c>
      <c r="G5" s="17">
        <f t="shared" si="5"/>
        <v>6.4286868433381925E-2</v>
      </c>
      <c r="H5" s="18">
        <f t="shared" si="6"/>
        <v>4.6469672460047184E-3</v>
      </c>
      <c r="I5" s="14">
        <f t="shared" si="7"/>
        <v>2.1594304585440677E-5</v>
      </c>
      <c r="J5" s="17">
        <f t="shared" si="2"/>
        <v>2.5636373742243153E-2</v>
      </c>
      <c r="K5" s="18"/>
      <c r="L5" s="18"/>
      <c r="M5" s="18"/>
      <c r="N5" s="18"/>
      <c r="O5" s="18"/>
      <c r="P5" s="18"/>
      <c r="Q5" s="34" t="s">
        <v>60</v>
      </c>
      <c r="R5" s="34" t="s">
        <v>61</v>
      </c>
    </row>
    <row r="6" spans="1:18" ht="15" thickTop="1" x14ac:dyDescent="0.3">
      <c r="A6" s="13"/>
      <c r="B6" s="14"/>
      <c r="C6" s="15"/>
      <c r="D6" s="14"/>
      <c r="E6" s="20"/>
      <c r="F6" s="14"/>
      <c r="G6" s="17"/>
      <c r="H6" s="18"/>
      <c r="I6" s="14"/>
      <c r="J6" s="17"/>
      <c r="K6" s="18"/>
      <c r="L6" s="18"/>
      <c r="M6" s="18"/>
      <c r="N6" s="18"/>
      <c r="O6" s="18"/>
      <c r="P6" s="18"/>
      <c r="Q6" s="18">
        <f>Q4*2</f>
        <v>8.2057202758736222E-3</v>
      </c>
      <c r="R6" s="18">
        <f>R4*2</f>
        <v>1.4863055920722019E-2</v>
      </c>
    </row>
    <row r="7" spans="1:18" x14ac:dyDescent="0.3">
      <c r="A7" s="13"/>
      <c r="B7" s="14"/>
      <c r="C7" s="15"/>
      <c r="D7" s="14"/>
      <c r="E7" s="20"/>
      <c r="F7" s="14"/>
      <c r="G7" s="17"/>
      <c r="H7" s="18"/>
      <c r="I7" s="14"/>
      <c r="J7" s="17"/>
      <c r="K7" s="18"/>
      <c r="L7" s="18"/>
      <c r="M7" s="18"/>
      <c r="N7" s="18"/>
      <c r="O7" s="18"/>
      <c r="P7" s="18"/>
      <c r="Q7" s="18"/>
      <c r="R7" s="18"/>
    </row>
    <row r="8" spans="1:18" x14ac:dyDescent="0.3">
      <c r="A8" s="13"/>
      <c r="B8" s="14"/>
      <c r="C8" s="15"/>
      <c r="D8" s="14"/>
      <c r="E8" s="20"/>
      <c r="F8" s="14"/>
      <c r="G8" s="17"/>
      <c r="H8" s="18"/>
      <c r="I8" s="14"/>
      <c r="J8" s="17"/>
      <c r="K8" s="18"/>
      <c r="L8" s="18"/>
      <c r="M8" s="18"/>
      <c r="N8" s="18"/>
      <c r="O8" s="18"/>
      <c r="P8" s="18"/>
      <c r="Q8" s="18"/>
      <c r="R8" s="18"/>
    </row>
    <row r="9" spans="1:18" x14ac:dyDescent="0.3">
      <c r="A9" s="13"/>
      <c r="B9" s="14"/>
      <c r="C9" s="15"/>
      <c r="D9" s="14"/>
      <c r="E9" s="20"/>
      <c r="F9" s="14"/>
      <c r="G9" s="17"/>
      <c r="H9" s="18"/>
      <c r="I9" s="14"/>
      <c r="J9" s="17"/>
      <c r="K9" s="18"/>
      <c r="L9" s="18"/>
      <c r="M9" s="18"/>
      <c r="N9" s="18"/>
      <c r="O9" s="18"/>
      <c r="P9" s="18"/>
      <c r="Q9" s="18"/>
      <c r="R9" s="18"/>
    </row>
    <row r="10" spans="1:18" x14ac:dyDescent="0.3">
      <c r="A10" s="13"/>
      <c r="B10" s="14"/>
      <c r="C10" s="15"/>
      <c r="D10" s="14"/>
      <c r="E10" s="20"/>
      <c r="F10" s="14"/>
      <c r="G10" s="17"/>
      <c r="H10" s="18"/>
      <c r="I10" s="14"/>
      <c r="J10" s="17"/>
    </row>
    <row r="11" spans="1:18" x14ac:dyDescent="0.3">
      <c r="A11" s="13"/>
      <c r="B11" s="14"/>
      <c r="C11" s="15"/>
      <c r="D11" s="14"/>
      <c r="E11" s="20"/>
      <c r="F11" s="14"/>
      <c r="G11" s="17"/>
      <c r="H11" s="18"/>
      <c r="I11" s="14"/>
      <c r="J11" s="17"/>
    </row>
    <row r="12" spans="1:18" x14ac:dyDescent="0.3">
      <c r="A12" s="13"/>
      <c r="B12" s="14"/>
      <c r="C12" s="15"/>
      <c r="D12" s="14"/>
      <c r="E12" s="20"/>
      <c r="F12" s="14"/>
      <c r="G12" s="17"/>
      <c r="H12" s="18"/>
      <c r="I12" s="14"/>
      <c r="J12" s="17"/>
    </row>
    <row r="13" spans="1:18" x14ac:dyDescent="0.3">
      <c r="A13" s="13"/>
      <c r="B13" s="14"/>
      <c r="C13" s="15"/>
      <c r="D13" s="14"/>
      <c r="E13" s="20"/>
      <c r="F13" s="14"/>
      <c r="G13" s="17"/>
      <c r="H13" s="18"/>
      <c r="I13" s="14"/>
      <c r="J13" s="17"/>
    </row>
    <row r="14" spans="1:18" x14ac:dyDescent="0.3">
      <c r="A14" s="13"/>
      <c r="B14" s="14"/>
      <c r="C14" s="15"/>
      <c r="D14" s="14"/>
      <c r="E14" s="20"/>
      <c r="F14" s="14"/>
      <c r="G14" s="17"/>
      <c r="H14" s="18"/>
      <c r="I14" s="14"/>
      <c r="J14" s="17"/>
    </row>
    <row r="15" spans="1:18" x14ac:dyDescent="0.3">
      <c r="A15" s="13"/>
      <c r="B15" s="14"/>
      <c r="C15" s="15"/>
      <c r="D15" s="14"/>
      <c r="E15" s="20"/>
      <c r="F15" s="14"/>
      <c r="G15" s="17"/>
      <c r="H15" s="18"/>
      <c r="I15" s="14"/>
      <c r="J15" s="17"/>
    </row>
    <row r="16" spans="1:18" x14ac:dyDescent="0.3">
      <c r="A16" s="13"/>
      <c r="B16" s="14"/>
      <c r="C16" s="15"/>
      <c r="D16" s="14"/>
      <c r="E16" s="20"/>
      <c r="F16" s="14"/>
      <c r="G16" s="17"/>
      <c r="H16" s="18"/>
      <c r="I16" s="14"/>
      <c r="J16" s="17"/>
    </row>
    <row r="17" spans="1:10" x14ac:dyDescent="0.3">
      <c r="A17" s="13"/>
      <c r="B17" s="14"/>
      <c r="C17" s="15"/>
      <c r="D17" s="14"/>
      <c r="E17" s="20"/>
      <c r="F17" s="14"/>
      <c r="G17" s="17"/>
      <c r="H17" s="18"/>
      <c r="I17" s="14"/>
      <c r="J17" s="17"/>
    </row>
    <row r="18" spans="1:10" x14ac:dyDescent="0.3">
      <c r="A18" s="13"/>
      <c r="B18" s="14"/>
      <c r="C18" s="15"/>
      <c r="D18" s="14"/>
      <c r="E18" s="20"/>
      <c r="F18" s="14"/>
      <c r="G18" s="17"/>
      <c r="H18" s="18"/>
      <c r="I18" s="14"/>
      <c r="J18" s="17"/>
    </row>
    <row r="19" spans="1:10" x14ac:dyDescent="0.3">
      <c r="A19" s="13"/>
      <c r="B19" s="14"/>
      <c r="C19" s="15"/>
      <c r="D19" s="14"/>
      <c r="E19" s="20"/>
      <c r="F19" s="14"/>
      <c r="G19" s="17"/>
      <c r="H19" s="18"/>
      <c r="I19" s="14"/>
      <c r="J19" s="17"/>
    </row>
    <row r="20" spans="1:10" x14ac:dyDescent="0.3">
      <c r="A20" s="13"/>
      <c r="B20" s="14"/>
      <c r="C20" s="15"/>
      <c r="D20" s="14"/>
      <c r="E20" s="20"/>
      <c r="F20" s="14"/>
      <c r="G20" s="17"/>
      <c r="H20" s="18"/>
      <c r="I20" s="14"/>
      <c r="J20" s="17"/>
    </row>
    <row r="21" spans="1:10" x14ac:dyDescent="0.3">
      <c r="A21" s="13"/>
      <c r="B21" s="14"/>
      <c r="C21" s="15"/>
      <c r="D21" s="14"/>
      <c r="E21" s="20"/>
      <c r="F21" s="14"/>
      <c r="G21" s="17"/>
      <c r="H21" s="18"/>
      <c r="I21" s="14"/>
      <c r="J21" s="17"/>
    </row>
    <row r="22" spans="1:10" x14ac:dyDescent="0.3">
      <c r="A22" s="13"/>
      <c r="B22" s="14"/>
      <c r="C22" s="15"/>
      <c r="D22" s="14"/>
      <c r="E22" s="20"/>
      <c r="F22" s="14"/>
      <c r="G22" s="17"/>
      <c r="H22" s="18"/>
      <c r="I22" s="14"/>
      <c r="J22" s="17"/>
    </row>
    <row r="23" spans="1:10" x14ac:dyDescent="0.3">
      <c r="A23" s="13"/>
      <c r="B23" s="14"/>
      <c r="C23" s="15"/>
      <c r="D23" s="14"/>
      <c r="E23" s="20"/>
      <c r="F23" s="14"/>
      <c r="G23" s="17"/>
      <c r="H23" s="18"/>
      <c r="I23" s="14"/>
      <c r="J23" s="17"/>
    </row>
  </sheetData>
  <pageMargins left="0.7" right="0.7" top="0.75" bottom="0.75" header="0.3" footer="0.3"/>
  <pageSetup paperSize="9" orientation="portrait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R9"/>
  <sheetViews>
    <sheetView workbookViewId="0">
      <selection activeCell="O2" sqref="O2"/>
    </sheetView>
  </sheetViews>
  <sheetFormatPr defaultRowHeight="14.4" x14ac:dyDescent="0.3"/>
  <cols>
    <col min="1" max="1" width="9" bestFit="1" customWidth="1"/>
    <col min="2" max="2" width="9.44140625" bestFit="1" customWidth="1"/>
    <col min="3" max="3" width="9" bestFit="1" customWidth="1"/>
    <col min="4" max="4" width="9.6640625" customWidth="1"/>
    <col min="5" max="5" width="9" bestFit="1" customWidth="1"/>
    <col min="6" max="6" width="10.109375" bestFit="1" customWidth="1"/>
    <col min="7" max="7" width="14" customWidth="1"/>
    <col min="8" max="10" width="9" bestFit="1" customWidth="1"/>
    <col min="12" max="12" width="9" bestFit="1" customWidth="1"/>
    <col min="13" max="14" width="9.44140625" bestFit="1" customWidth="1"/>
    <col min="15" max="18" width="9" bestFit="1" customWidth="1"/>
  </cols>
  <sheetData>
    <row r="1" spans="1:18" ht="46.8" thickTop="1" thickBot="1" x14ac:dyDescent="0.35">
      <c r="A1" s="4" t="s">
        <v>23</v>
      </c>
      <c r="B1" s="5" t="s">
        <v>24</v>
      </c>
      <c r="C1" s="6" t="s">
        <v>28</v>
      </c>
      <c r="D1" s="26" t="s">
        <v>29</v>
      </c>
      <c r="E1" s="25" t="s">
        <v>30</v>
      </c>
      <c r="F1" s="26" t="s">
        <v>31</v>
      </c>
      <c r="G1" s="7" t="s">
        <v>32</v>
      </c>
      <c r="H1" s="11" t="s">
        <v>13</v>
      </c>
      <c r="I1" s="10" t="s">
        <v>36</v>
      </c>
      <c r="J1" s="9" t="s">
        <v>37</v>
      </c>
      <c r="L1" s="7" t="s">
        <v>16</v>
      </c>
      <c r="M1" s="7" t="s">
        <v>25</v>
      </c>
      <c r="N1" s="8" t="s">
        <v>26</v>
      </c>
      <c r="O1" s="8" t="s">
        <v>27</v>
      </c>
      <c r="P1" s="8" t="s">
        <v>33</v>
      </c>
      <c r="Q1" s="8" t="s">
        <v>34</v>
      </c>
      <c r="R1" s="8" t="s">
        <v>35</v>
      </c>
    </row>
    <row r="2" spans="1:18" ht="15.6" thickTop="1" thickBot="1" x14ac:dyDescent="0.35">
      <c r="A2" s="13">
        <f>'Таблица 3'!B3</f>
        <v>5.9290000000000002E-3</v>
      </c>
      <c r="B2" s="14">
        <f>'Таблица 3'!B4</f>
        <v>1.6148340819871338E-2</v>
      </c>
      <c r="C2" s="15">
        <f>(A2-$L$2)*(A2-$L$2)</f>
        <v>2.3575043402777784E-4</v>
      </c>
      <c r="D2" s="14">
        <f>(B2-$M$2)*(B2-$M$2)</f>
        <v>8.2703196922197968E-4</v>
      </c>
      <c r="E2" s="16">
        <f>A2-$L$2</f>
        <v>-1.5354166666666669E-2</v>
      </c>
      <c r="F2" s="14">
        <f>B2-$M$2</f>
        <v>-2.8758163523110784E-2</v>
      </c>
      <c r="G2" s="17">
        <f>E2*F2</f>
        <v>4.415576357610969E-4</v>
      </c>
      <c r="H2" s="18">
        <f>B2-($O$2+$N$2*A2)</f>
        <v>-3.8090221488555884E-2</v>
      </c>
      <c r="I2" s="19">
        <f>H2*H2</f>
        <v>1.4508649730472444E-3</v>
      </c>
      <c r="J2" s="24">
        <f>SQRT(4*$R$2+4*$Q$2*A2*A2)</f>
        <v>7.4539046433482289E-2</v>
      </c>
      <c r="K2" s="18"/>
      <c r="L2" s="18">
        <f>SUM(A:A)/COUNT(A:A)</f>
        <v>2.1283166666666669E-2</v>
      </c>
      <c r="M2" s="18">
        <f>SUM(B:B)/COUNT(B:B)</f>
        <v>4.4906504342982122E-2</v>
      </c>
      <c r="N2" s="51">
        <f>SUM(G:G)/SUM(C:C)</f>
        <v>1.7041658629372811</v>
      </c>
      <c r="O2" s="35">
        <f>M2-N2*L2*L2</f>
        <v>4.4134562907072086E-2</v>
      </c>
      <c r="P2" s="18">
        <f>SUM(C:C)</f>
        <v>8.6596927083333294E-4</v>
      </c>
      <c r="Q2" s="18">
        <f>1/P2*SUM(I:I)/(COUNT(I:I)-2)</f>
        <v>2.1962330902793585</v>
      </c>
      <c r="R2" s="18">
        <f>(1/COUNT(I:I)+L2*L2/P2)*SUM(I:I)/(COUNT(I:I)-2)</f>
        <v>1.3118130889350605E-3</v>
      </c>
    </row>
    <row r="3" spans="1:18" ht="16.8" thickTop="1" thickBot="1" x14ac:dyDescent="0.35">
      <c r="A3" s="13">
        <f>'Таблица 3'!C3</f>
        <v>1.0404000000000002E-2</v>
      </c>
      <c r="B3" s="14">
        <f>'Таблица 3'!C4</f>
        <v>2.8723750368514992E-2</v>
      </c>
      <c r="C3" s="15">
        <f>(A3-$L$2)*(A3-$L$2)</f>
        <v>1.1835626736111112E-4</v>
      </c>
      <c r="D3" s="14">
        <f>(B3-$M$2)*(B3-$M$2)</f>
        <v>2.6188152619813167E-4</v>
      </c>
      <c r="E3" s="20">
        <f>A3-$L$2</f>
        <v>-1.0879166666666667E-2</v>
      </c>
      <c r="F3" s="14">
        <f>B3-$M$2</f>
        <v>-1.618275397446713E-2</v>
      </c>
      <c r="G3" s="17">
        <f>E3*F3</f>
        <v>1.7605487761389031E-4</v>
      </c>
      <c r="H3" s="18">
        <f>B3-($O$2+$N$2*A3)</f>
        <v>-3.3140954176556575E-2</v>
      </c>
      <c r="I3" s="14">
        <f>H3*H3</f>
        <v>1.0983228437326227E-3</v>
      </c>
      <c r="J3" s="17">
        <f t="shared" ref="J3:J7" si="0">SQRT(4*$R$2+4*$Q$2*A3*A3)</f>
        <v>7.872840457452486E-2</v>
      </c>
      <c r="K3" s="27"/>
      <c r="L3" s="18"/>
      <c r="M3" s="18"/>
      <c r="N3" s="34" t="s">
        <v>57</v>
      </c>
      <c r="O3" s="34" t="s">
        <v>56</v>
      </c>
      <c r="P3" s="18"/>
      <c r="Q3" s="34" t="s">
        <v>58</v>
      </c>
      <c r="R3" s="34" t="s">
        <v>59</v>
      </c>
    </row>
    <row r="4" spans="1:18" ht="15.6" thickTop="1" thickBot="1" x14ac:dyDescent="0.35">
      <c r="A4" s="13">
        <f>'Таблица 3'!D3</f>
        <v>1.6129000000000001E-2</v>
      </c>
      <c r="B4" s="14">
        <f>'Таблица 3'!D4</f>
        <v>4.0114804289598557E-2</v>
      </c>
      <c r="C4" s="15">
        <f t="shared" ref="C4:C7" si="1">(A4-$L$2)*(A4-$L$2)</f>
        <v>2.6565434027777793E-5</v>
      </c>
      <c r="D4" s="14">
        <f t="shared" ref="D4:D7" si="2">(B4-$M$2)*(B4-$M$2)</f>
        <v>2.2960389401596055E-5</v>
      </c>
      <c r="E4" s="20">
        <f t="shared" ref="E4:E7" si="3">A4-$L$2</f>
        <v>-5.154166666666668E-3</v>
      </c>
      <c r="F4" s="14">
        <f t="shared" ref="F4:F7" si="4">B4-$M$2</f>
        <v>-4.7917000533835644E-3</v>
      </c>
      <c r="G4" s="17">
        <f t="shared" ref="G4:G7" si="5">E4*F4</f>
        <v>2.4697220691814461E-5</v>
      </c>
      <c r="H4" s="18">
        <f t="shared" ref="H4:H7" si="6">B4-($O$2+$N$2*A4)</f>
        <v>-3.1506249820788937E-2</v>
      </c>
      <c r="I4" s="14">
        <f t="shared" ref="I4:I7" si="7">H4*H4</f>
        <v>9.9264377776996288E-4</v>
      </c>
      <c r="J4" s="17">
        <f t="shared" si="0"/>
        <v>8.6790583769395274E-2</v>
      </c>
      <c r="K4" s="18"/>
      <c r="L4" s="18"/>
      <c r="M4" s="18"/>
      <c r="N4" s="18"/>
      <c r="O4" s="18"/>
      <c r="P4" s="18"/>
      <c r="Q4" s="18">
        <f>SQRT(Q2)</f>
        <v>1.4819693283868458</v>
      </c>
      <c r="R4" s="18">
        <f>SQRT(R2)</f>
        <v>3.6218960351383091E-2</v>
      </c>
    </row>
    <row r="5" spans="1:18" ht="16.8" thickTop="1" thickBot="1" x14ac:dyDescent="0.35">
      <c r="A5" s="13">
        <f>'Таблица 3'!E3</f>
        <v>2.3104E-2</v>
      </c>
      <c r="B5" s="14">
        <f>'Таблица 3'!E4</f>
        <v>4.391533448080031E-2</v>
      </c>
      <c r="C5" s="15">
        <f t="shared" si="1"/>
        <v>3.3154340277777676E-6</v>
      </c>
      <c r="D5" s="14">
        <f t="shared" si="2"/>
        <v>9.824176956975124E-7</v>
      </c>
      <c r="E5" s="20">
        <f t="shared" si="3"/>
        <v>1.8208333333333306E-3</v>
      </c>
      <c r="F5" s="14">
        <f t="shared" si="4"/>
        <v>-9.9116986218181213E-4</v>
      </c>
      <c r="G5" s="17">
        <f t="shared" si="5"/>
        <v>-1.8047551240560468E-6</v>
      </c>
      <c r="H5" s="18">
        <f t="shared" si="6"/>
        <v>-3.9592276523574728E-2</v>
      </c>
      <c r="I5" s="14">
        <f t="shared" si="7"/>
        <v>1.5675483603192065E-3</v>
      </c>
      <c r="J5" s="17">
        <f t="shared" si="0"/>
        <v>9.9682514560053961E-2</v>
      </c>
      <c r="K5" s="18"/>
      <c r="L5" s="18"/>
      <c r="M5" s="18"/>
      <c r="N5" s="51">
        <f>N2/4</f>
        <v>0.42604146573432028</v>
      </c>
      <c r="O5" s="18"/>
      <c r="P5" s="18"/>
      <c r="Q5" s="34" t="s">
        <v>60</v>
      </c>
      <c r="R5" s="34" t="s">
        <v>61</v>
      </c>
    </row>
    <row r="6" spans="1:18" ht="15" thickTop="1" x14ac:dyDescent="0.3">
      <c r="A6" s="13">
        <f>'Таблица 3'!F3</f>
        <v>3.1328999999999996E-2</v>
      </c>
      <c r="B6" s="14">
        <f>'Таблица 3'!F4</f>
        <v>6.1256932771825548E-2</v>
      </c>
      <c r="C6" s="15">
        <f t="shared" si="1"/>
        <v>1.0091876736111099E-4</v>
      </c>
      <c r="D6" s="14">
        <f t="shared" si="2"/>
        <v>2.673365098067313E-4</v>
      </c>
      <c r="E6" s="20">
        <f t="shared" si="3"/>
        <v>1.0045833333333327E-2</v>
      </c>
      <c r="F6" s="14">
        <f t="shared" si="4"/>
        <v>1.6350428428843426E-2</v>
      </c>
      <c r="G6" s="17">
        <f t="shared" si="5"/>
        <v>1.6425367892475615E-4</v>
      </c>
      <c r="H6" s="18">
        <f t="shared" si="6"/>
        <v>-3.6267442455208618E-2</v>
      </c>
      <c r="I6" s="14">
        <f t="shared" si="7"/>
        <v>1.3153273822418684E-3</v>
      </c>
      <c r="J6" s="17">
        <f t="shared" si="0"/>
        <v>0.11776976817052781</v>
      </c>
      <c r="K6" s="18"/>
      <c r="L6" s="18"/>
      <c r="M6" s="18"/>
      <c r="N6" s="18"/>
      <c r="O6" s="18"/>
      <c r="P6" s="18"/>
      <c r="Q6" s="18">
        <f>Q4*2</f>
        <v>2.9639386567736916</v>
      </c>
      <c r="R6" s="18">
        <f>R4*2</f>
        <v>7.2437920702766181E-2</v>
      </c>
    </row>
    <row r="7" spans="1:18" x14ac:dyDescent="0.3">
      <c r="A7" s="13">
        <f>'Таблица 3'!G3</f>
        <v>4.0803999999999993E-2</v>
      </c>
      <c r="B7" s="14">
        <f>'Таблица 3'!G4</f>
        <v>7.9279863327281985E-2</v>
      </c>
      <c r="C7" s="15">
        <f t="shared" si="1"/>
        <v>3.8106293402777742E-4</v>
      </c>
      <c r="D7" s="14">
        <f t="shared" si="2"/>
        <v>1.1815278078635481E-3</v>
      </c>
      <c r="E7" s="20">
        <f t="shared" si="3"/>
        <v>1.9520833333333324E-2</v>
      </c>
      <c r="F7" s="14">
        <f t="shared" si="4"/>
        <v>3.4373358984299864E-2</v>
      </c>
      <c r="G7" s="17">
        <f t="shared" si="5"/>
        <v>6.7099661183935325E-4</v>
      </c>
      <c r="H7" s="18">
        <f t="shared" si="6"/>
        <v>-3.4391483451082908E-2</v>
      </c>
      <c r="I7" s="14">
        <f t="shared" si="7"/>
        <v>1.1827741339661094E-3</v>
      </c>
      <c r="J7" s="17">
        <f t="shared" si="0"/>
        <v>0.14097471299432515</v>
      </c>
      <c r="K7" s="18"/>
      <c r="L7" s="18"/>
      <c r="M7" s="18"/>
      <c r="N7" s="18"/>
      <c r="O7" s="18"/>
      <c r="P7" s="18"/>
      <c r="Q7" s="18"/>
      <c r="R7" s="18"/>
    </row>
    <row r="8" spans="1:18" x14ac:dyDescent="0.3">
      <c r="A8" s="13"/>
      <c r="B8" s="14"/>
      <c r="C8" s="15"/>
      <c r="D8" s="14"/>
      <c r="E8" s="20"/>
      <c r="F8" s="14"/>
      <c r="G8" s="17"/>
      <c r="H8" s="18"/>
      <c r="I8" s="14"/>
      <c r="J8" s="17"/>
      <c r="K8" s="18"/>
      <c r="L8" s="18"/>
      <c r="M8" s="18"/>
      <c r="N8" s="18"/>
      <c r="O8" s="18"/>
      <c r="P8" s="18"/>
      <c r="Q8" s="18"/>
      <c r="R8" s="18"/>
    </row>
    <row r="9" spans="1:18" x14ac:dyDescent="0.3">
      <c r="A9" s="13"/>
      <c r="B9" s="14"/>
      <c r="C9" s="15"/>
      <c r="D9" s="14"/>
      <c r="E9" s="20"/>
      <c r="F9" s="14"/>
      <c r="G9" s="17"/>
      <c r="H9" s="18"/>
      <c r="I9" s="14"/>
      <c r="J9" s="17"/>
      <c r="K9" s="18"/>
      <c r="L9" s="18"/>
      <c r="M9" s="18"/>
      <c r="N9" s="18"/>
      <c r="O9" s="18"/>
      <c r="P9" s="18"/>
      <c r="Q9" s="18"/>
      <c r="R9" s="18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26</vt:i4>
      </vt:variant>
    </vt:vector>
  </HeadingPairs>
  <TitlesOfParts>
    <vt:vector size="26" baseType="lpstr">
      <vt:lpstr>Погрешности косвенные (Шаблон)</vt:lpstr>
      <vt:lpstr>МНК (Шаблон)</vt:lpstr>
      <vt:lpstr>предисловие</vt:lpstr>
      <vt:lpstr>Таблица 1</vt:lpstr>
      <vt:lpstr>Таблица 2</vt:lpstr>
      <vt:lpstr>Таблица 3</vt:lpstr>
      <vt:lpstr>График 1</vt:lpstr>
      <vt:lpstr>График 2</vt:lpstr>
      <vt:lpstr>Печать 1</vt:lpstr>
      <vt:lpstr>Печать 2</vt:lpstr>
      <vt:lpstr>Печать 3</vt:lpstr>
      <vt:lpstr>Параметры установки</vt:lpstr>
      <vt:lpstr>Погрешности прямые (t)</vt:lpstr>
      <vt:lpstr>Погрешности прямые (a)</vt:lpstr>
      <vt:lpstr>Погрешности косвенные (a)</vt:lpstr>
      <vt:lpstr>Погрешности прямые (e)</vt:lpstr>
      <vt:lpstr>Погрешности косвенные (e)</vt:lpstr>
      <vt:lpstr>Погрешности прямые (M)</vt:lpstr>
      <vt:lpstr>Погрешности косвенные (M)</vt:lpstr>
      <vt:lpstr>МНК рис.1</vt:lpstr>
      <vt:lpstr>МНК рис.2</vt:lpstr>
      <vt:lpstr>МНК рис.3</vt:lpstr>
      <vt:lpstr>МНК рис.4</vt:lpstr>
      <vt:lpstr>МНК рис.5</vt:lpstr>
      <vt:lpstr>МНК рис.6</vt:lpstr>
      <vt:lpstr>МНК 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Петр Михайлов</cp:lastModifiedBy>
  <cp:lastPrinted>2021-10-21T21:58:13Z</cp:lastPrinted>
  <dcterms:created xsi:type="dcterms:W3CDTF">2015-06-05T18:19:34Z</dcterms:created>
  <dcterms:modified xsi:type="dcterms:W3CDTF">2025-12-17T22:43:53Z</dcterms:modified>
</cp:coreProperties>
</file>